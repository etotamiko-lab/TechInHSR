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tables/table1.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tamikoeto/Desktop/"/>
    </mc:Choice>
  </mc:AlternateContent>
  <xr:revisionPtr revIDLastSave="0" documentId="13_ncr:1_{37E44B63-DA37-7043-B9B5-65E8EDE2AC58}" xr6:coauthVersionLast="47" xr6:coauthVersionMax="47" xr10:uidLastSave="{00000000-0000-0000-0000-000000000000}"/>
  <bookViews>
    <workbookView xWindow="-38400" yWindow="-1260" windowWidth="38400" windowHeight="21600" activeTab="1" xr2:uid="{EFAD5071-5CD2-AB48-9805-2724B0E2B681}"/>
  </bookViews>
  <sheets>
    <sheet name="Menu" sheetId="8" r:id="rId1"/>
    <sheet name="Instructions" sheetId="9" r:id="rId2"/>
    <sheet name="About Project" sheetId="13" r:id="rId3"/>
    <sheet name="Definitions" sheetId="10" r:id="rId4"/>
    <sheet name="The Tool" sheetId="12" r:id="rId5"/>
    <sheet name="AIHSR Risk Reference Tool (1.0)" sheetId="1" state="hidden" r:id="rId6"/>
    <sheet name="DropdownValues" sheetId="4" state="hidden" r:id="rId7"/>
    <sheet name="Map Risk-Mitigation-Prompt" sheetId="11" r:id="rId8"/>
    <sheet name="Examples" sheetId="5" r:id="rId9"/>
    <sheet name="Sources" sheetId="7" r:id="rId10"/>
    <sheet name="Lookup" sheetId="3" state="hidden" r:id="rId11"/>
    <sheet name="Model Info" sheetId="16" r:id="rId12"/>
    <sheet name="Version History" sheetId="15" r:id="rId13"/>
  </sheets>
  <definedNames>
    <definedName name="_xlnm._FilterDatabase" localSheetId="5" hidden="1">'AIHSR Risk Reference Tool (1.0)'!$J$1:$L$3</definedName>
    <definedName name="_xlnm._FilterDatabase" localSheetId="3" hidden="1">Definitions!$A$1:$W$89</definedName>
    <definedName name="_xlnm._FilterDatabase" localSheetId="4" hidden="1">'The Tool'!$I$1:$K$3</definedName>
    <definedName name="AI_Use_Case" comment="Common AI applications in research (e.g., predictive modeling, summarization, LLM chat)" localSheetId="4">'The Tool'!$A$1</definedName>
    <definedName name="AI_Use_Case" comment="Common AI applications in research (e.g., predictive modeling, summarization, LLM chat)">'AIHSR Risk Reference Tool (1.0)'!$A$1</definedName>
    <definedName name="Benefit_Risk_Justification" comment="Prompt: “Does the protocol justify risk given potential benefit?”" localSheetId="4">'The Tool'!$Q$1</definedName>
    <definedName name="Benefit_Risk_Justification" comment="Prompt: “Does the protocol justify risk given potential benefit?”">'AIHSR Risk Reference Tool (1.0)'!$U$1</definedName>
    <definedName name="D____Distributional" comment="Risks that impact fairness, representation, and equity. These often concern bias, discrimination, and unequal impact on different populations.">DropdownValues!$E$2</definedName>
    <definedName name="Example_Mitigation_Strategy" comment="From MIT Mitigation Library (map by ID or strategy group)" localSheetId="4">'The Tool'!$M$1</definedName>
    <definedName name="Example_Mitigation_Strategy" comment="From MIT Mitigation Library (map by ID or strategy group)">'AIHSR Risk Reference Tool (1.0)'!$N$1</definedName>
    <definedName name="How_to_Use_This_Tool" comment="Use the filters on the &quot;Risk Reference&quot; tab to identify relevant risks and mitigations by model type, population, or data sensitivity.">#REF!</definedName>
    <definedName name="Human_Subjects_Concern" comment="_x0009_Ethical impact (e.g., harm, loss of autonomy, privacy violation)" localSheetId="4">'The Tool'!$H$1</definedName>
    <definedName name="Human_Subjects_Concern" comment="_x0009_Ethical impact (e.g., harm, loss of autonomy, privacy violation)">'AIHSR Risk Reference Tool (1.0)'!$I$1</definedName>
    <definedName name="I____Interactional" comment="Risks that arise in human-AI interaction — including misuse, misinterpretation, overreliance, or user confusion.">DropdownValues!$E$3</definedName>
    <definedName name="Key_Terms___Definitions" comment="See below (link to or list definitions of AI terms, risks, mitigation types, etc.)">#REF!</definedName>
    <definedName name="Likelihood" comment="Qualitative: High / Medium / Low" localSheetId="4">'The Tool'!$I$1</definedName>
    <definedName name="Likelihood" comment="Qualitative: High / Medium / Low">'AIHSR Risk Reference Tool (1.0)'!$J$1</definedName>
    <definedName name="Limitations" comment="This tool is a conceptual aid, not a regulatory determination or complete checklist. Future versions may add automation or scoring.">#REF!</definedName>
    <definedName name="Mitigation_Type" comment="ISO 14971-style: [D] Design / [M] Monitor / [I] Inform" localSheetId="4">'The Tool'!$N$1</definedName>
    <definedName name="Mitigation_Type" comment="ISO 14971-style: [D] Design / [M] Monitor / [I] Inform">'AIHSR Risk Reference Tool (1.0)'!$O$1</definedName>
    <definedName name="Primary_Sources" comment="1. MIT AI Risk Library 2. MIT AI Risk Mitigation Library 3. ISO 14971 Risk Management Framework (adapted, not device-limited)">#REF!</definedName>
    <definedName name="_xlnm.Print_Area" localSheetId="2">'About Project'!$A$1:$B$47</definedName>
    <definedName name="_xlnm.Print_Area" localSheetId="5">'AIHSR Risk Reference Tool (1.0)'!$E$1:$W$10</definedName>
    <definedName name="_xlnm.Print_Area" localSheetId="3">Definitions!$A$1:$C$89</definedName>
    <definedName name="_xlnm.Print_Area" localSheetId="6">DropdownValues!$A$1:$N$37</definedName>
    <definedName name="_xlnm.Print_Area" localSheetId="8">Examples!$A$1:$G$36</definedName>
    <definedName name="_xlnm.Print_Area" localSheetId="1">Instructions!$A$2:$D$24</definedName>
    <definedName name="_xlnm.Print_Area" localSheetId="10">Lookup!$A$1:$C$22</definedName>
    <definedName name="_xlnm.Print_Area" localSheetId="7">'Map Risk-Mitigation-Prompt'!$A$1:$F$25</definedName>
    <definedName name="_xlnm.Print_Area" localSheetId="0">Menu!$A$1:$B$19</definedName>
    <definedName name="_xlnm.Print_Area" localSheetId="11">'Model Info'!$A$1:$B$37</definedName>
    <definedName name="_xlnm.Print_Area" localSheetId="9">Sources!$A$1:$D$10</definedName>
    <definedName name="_xlnm.Print_Area" localSheetId="4">'The Tool'!$A$1:$S$20</definedName>
    <definedName name="_xlnm.Print_Area" localSheetId="12">'Version History'!$A$1:$C$11</definedName>
    <definedName name="Purpose_of_Tool" comment="To assist IRB reviewers in identifying and mitigating risks specific to AI-based human subjects research protocols.">#REF!</definedName>
    <definedName name="Relevant_Research_Features" comment="_x0009_Model/data factors increasing risk (e.g., black-box model, sensitive data)" localSheetId="4">'The Tool'!$G$1</definedName>
    <definedName name="Relevant_Research_Features" comment="_x0009_Model/data factors increasing risk (e.g., black-box model, sensitive data)">'AIHSR Risk Reference Tool (1.0)'!$H$1</definedName>
    <definedName name="Residual_Risk_Consideration" comment="Prompt: “Is residual risk acknowledged (e.g., in consent)? Yes/No/Unknown”" localSheetId="4">'The Tool'!$O$1</definedName>
    <definedName name="Residual_Risk_Consideration" comment="Prompt: “Is residual risk acknowledged (e.g., in consent)? Yes/No/Unknown”">'AIHSR Risk Reference Tool (1.0)'!$S$1</definedName>
    <definedName name="Reviewer_Notes" comment="_x0009_Free-text space for IRB reviewer to comment (optional)" localSheetId="4">'The Tool'!$S$1</definedName>
    <definedName name="Reviewer_Notes" comment="_x0009_Free-text space for IRB reviewer to comment (optional)">'AIHSR Risk Reference Tool (1.0)'!$W$1</definedName>
    <definedName name="Risk_Description" comment="Plain-language summary of the specific risk from MIT AI Risk Library" localSheetId="4">'The Tool'!#REF!</definedName>
    <definedName name="Risk_Description" comment="Plain-language summary of the specific risk from MIT AI Risk Library">'AIHSR Risk Reference Tool (1.0)'!$E$1</definedName>
    <definedName name="Risk_Domain" comment="Category of risk (e.g., misclassification, explainability gap, data leakage)" localSheetId="4">'The Tool'!$C$1</definedName>
    <definedName name="Risk_Domain" comment="Category of risk (e.g., misclassification, explainability gap, data leakage)">'AIHSR Risk Reference Tool (1.0)'!$C$1</definedName>
    <definedName name="Risk_Domains_Covered" comment="_x0009_Misclassification, Explainability, Data Drift, Bias, Participant Vulnerability, Data Sensitivity">#REF!</definedName>
    <definedName name="Risk_Level" comment="Combine severity + likelihood into a simple risk tier (High/Med/Low)" localSheetId="4">'The Tool'!$K$1</definedName>
    <definedName name="Risk_Level" comment="Combine severity + likelihood into a simple risk tier (High/Med/Low)">'AIHSR Risk Reference Tool (1.0)'!$L$1</definedName>
    <definedName name="RiskDomains">Lookup!#REF!</definedName>
    <definedName name="S____Systemic" comment="Risks affecting broader systems — such as social, political, economic, or ecological outcomes. Think feedback loops, long-term harms, and emergent behavior.">DropdownValues!$E$4</definedName>
    <definedName name="Scope" comment="_x0009_Only research studies involving AI/ML tools and subject to 45 CFR 46 or 21 CFR 56 oversight. Not intended for clinical-only tools.">#REF!</definedName>
    <definedName name="Severity" comment="Qualitative: High / Medium / Low" localSheetId="4">'The Tool'!$J$1</definedName>
    <definedName name="Severity" comment="Qualitative: High / Medium / Low">'AIHSR Risk Reference Tool (1.0)'!$K$1</definedName>
    <definedName name="SubdomainCodes">Lookup!#REF!</definedName>
    <definedName name="Subdomains">Lookup!#REF!</definedName>
    <definedName name="TamikoEto" comment="Tamiko Eto, MA CIP">#REF!</definedName>
    <definedName name="Tool_Name" comment="Quick Reference Risk Identification Guide for IRBs reviewing AI in Human Subjects Research (AIHSR)">#REF!</definedName>
    <definedName name="Version" comment="v1.0 – August 2025">#REF!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12" l="1"/>
  <c r="P5" i="12"/>
  <c r="P6" i="12"/>
  <c r="P7" i="12"/>
  <c r="P8" i="12"/>
  <c r="P9" i="12"/>
  <c r="P10" i="12"/>
  <c r="P11" i="12"/>
  <c r="P12" i="12"/>
  <c r="P13" i="12"/>
  <c r="P14" i="12"/>
  <c r="P15" i="12"/>
  <c r="P16" i="12"/>
  <c r="P17" i="12"/>
  <c r="P18" i="12"/>
  <c r="P19" i="12"/>
  <c r="P20" i="12"/>
  <c r="P3" i="12"/>
  <c r="P2" i="12"/>
  <c r="R21" i="12"/>
  <c r="R20" i="12"/>
  <c r="R19" i="12"/>
  <c r="R18" i="12"/>
  <c r="R17" i="12"/>
  <c r="R16" i="12"/>
  <c r="R15" i="12"/>
  <c r="R14" i="12"/>
  <c r="R13" i="12"/>
  <c r="R12" i="12"/>
  <c r="R11" i="12"/>
  <c r="R10" i="12"/>
  <c r="R9" i="12"/>
  <c r="R8" i="12"/>
  <c r="R7" i="12"/>
  <c r="R6" i="12"/>
  <c r="R5" i="12"/>
  <c r="R4" i="12"/>
  <c r="R3" i="12"/>
  <c r="R2" i="12"/>
  <c r="M4" i="12"/>
  <c r="M20" i="12"/>
  <c r="M19" i="12"/>
  <c r="M18" i="12"/>
  <c r="M17" i="12"/>
  <c r="M16" i="12"/>
  <c r="M15" i="12"/>
  <c r="M14" i="12"/>
  <c r="M13" i="12"/>
  <c r="M12" i="12"/>
  <c r="M11" i="12"/>
  <c r="M10" i="12"/>
  <c r="M9" i="12"/>
  <c r="M8" i="12"/>
  <c r="M7" i="12"/>
  <c r="M6" i="12"/>
  <c r="M5" i="12"/>
  <c r="M3" i="12"/>
  <c r="M2" i="12"/>
  <c r="T10" i="1"/>
  <c r="T9" i="1"/>
  <c r="T8" i="1"/>
  <c r="T7" i="1"/>
  <c r="T6" i="1"/>
  <c r="T5" i="1"/>
  <c r="T4" i="1"/>
  <c r="T3" i="1"/>
  <c r="T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tc={5802922C-5B4B-AC43-A262-51CC3EE69CF1}</author>
    <author>tc={A65B5203-459E-C34B-A87C-2D6021F0061D}</author>
    <author>tc={C713AD7D-78B5-F74D-B253-F12BE3074F1D}</author>
    <author>tc={81CA608E-6F84-8845-A2B4-DD22D523F25F}</author>
    <author>tc={09A6D5B4-12AE-CD46-8477-252FE4E09524}</author>
    <author>tc={8544A87B-B821-8A49-AF82-5E68AFC1367E}</author>
    <author>tc={4B42C95E-1D0E-D34C-89AD-CDB20849C7BC}</author>
    <author>tc={9CC4D0A6-370A-A046-8354-C8B0811B93A6}</author>
    <author>tc={CFFA02BB-F9C4-0042-9E85-F455A7AC146B}</author>
    <author>tc={75294144-1886-F64E-BF94-FD9A43EC59F6}</author>
    <author>tc={BBB5E3D8-BD95-934E-B50E-243A77CCD12E}</author>
    <author>tc={D9DFF59F-C000-2744-8CA7-8D857545560F}</author>
    <author>tc={117F2524-84D5-0C44-AAE8-D4DBC4A06CDE}</author>
    <author>tc={891BF653-D55A-8E41-96C7-F93FD804B623}</author>
    <author>tc={A1E9DC9D-1E9C-2E45-8479-368D5D442A12}</author>
    <author>tc={417AAE72-2810-354E-ABE4-D32703FC8242}</author>
    <author>tc={0811AD17-5188-7743-9779-E5B4DEE856EE}</author>
    <author>tc={3F3938B6-6DB2-E74B-A42C-1A06DA8DC65F}</author>
    <author>tc={4AC5722A-15F6-4042-8402-FA6E57230437}</author>
    <author>tc={6C91EB7F-457F-3146-B1AA-244C7F5E948F}</author>
    <author>tc={2962D6D4-F417-0040-B9A3-EE3052DC5E39}</author>
    <author>tc={A7CF6418-08D7-9E43-A1AD-2CD633D20158}</author>
    <author>tc={590B5366-FFD1-E245-80E6-2918C5218B4B}</author>
    <author>tc={472060A3-A223-3342-B65E-775E09834819}</author>
    <author>tc={5237F865-5839-D349-B129-4E21C10DE21B}</author>
    <author>tc={F6CE7A3B-53F4-FA49-9148-DDE3656CBBDE}</author>
    <author>tc={AE171246-2745-B042-8760-C3FEC15A8E34}</author>
    <author>tc={B3D0B3FD-7DD5-A44D-89C5-75947BBCE138}</author>
    <author>tc={58D45DF7-E767-1649-AD1E-3865B7638F11}</author>
    <author>tc={6230E2D1-C9D8-DD4E-8F23-D9793CFCC569}</author>
    <author>tc={3C8D8A4F-B2FB-A743-A5C1-5A9B33C87B71}</author>
    <author>tc={861A181C-CE02-D940-AF06-50F2719752C5}</author>
    <author>tc={2FD9271C-F7F0-AE4C-874C-0E75300627EB}</author>
    <author>tc={5B1B85C7-FE7F-C847-BB7C-5A43284316C2}</author>
    <author>tc={FA083563-2147-0444-A778-1F06C520352B}</author>
    <author>tc={5EC46FD9-DEEA-0548-ADF6-1F2186DA302C}</author>
    <author>tc={F52433F0-AE39-674B-B33B-C2FD40F369B6}</author>
    <author>tc={76FE20D7-D5E4-014F-8C1A-7A673F09423A}</author>
    <author>tc={221983EC-0C8F-7E43-A08D-7AC97890DEDC}</author>
    <author>tc={0837B177-F87E-8043-96ED-59195B949ED4}</author>
    <author>tc={BD7066A1-56D1-F04D-B136-154F50D63562}</author>
    <author>tc={FED4298B-74FB-F943-B0D5-3B097399F8D2}</author>
    <author>tc={C36175B9-37D1-1F41-8E0E-AEB0D7D2FEE5}</author>
    <author>tc={0006BDB7-BEB7-3343-B5C0-578112BFED14}</author>
    <author>tc={B5EDD220-DD2B-A846-857E-7C2E7D00A0AA}</author>
    <author>tc={592D278A-6495-2849-89E6-3290518DB659}</author>
    <author>tc={9006773F-E323-1A47-9236-C79D9C726431}</author>
    <author>tc={5FBA02C9-AB60-3645-9301-EDD8C128E9C5}</author>
    <author>tc={878D7B1A-451A-894A-91E6-E76747383665}</author>
    <author>tc={0DF82675-BB58-1A4B-A28C-B2FFD41979AC}</author>
    <author>tc={C2EDA371-191D-F44C-A94D-51DCB3F9C18E}</author>
    <author>tc={A13BEA4A-551E-F847-BED6-EC986F5CF1F7}</author>
    <author>tc={7B20242A-F7CD-184E-A78E-677BDE2E6A3E}</author>
    <author>tc={FFAB7A11-4C7B-094B-AE9A-A6841EFC71A6}</author>
    <author>tc={FC85AF97-2868-0C47-A440-4C0EC4097652}</author>
  </authors>
  <commentList>
    <comment ref="A2" authorId="0" shapeId="0" xr:uid="{5802922C-5B4B-AC43-A262-51CC3EE69CF1}">
      <text>
        <t>[Threaded comment]
Your version of Excel allows you to read this threaded comment; however, any edits to it will get removed if the file is opened in a newer version of Excel. Learn more: https://go.microsoft.com/fwlink/?linkid=870924
Comment:
    What it does: Looks at patterns in past data to guess what might happen next.
Example: Predicting which hospital patients are at highest risk of needing ICU care based on their vital signs.</t>
      </text>
    </comment>
    <comment ref="C2" authorId="1" shapeId="0" xr:uid="{A65B5203-459E-C34B-A87C-2D6021F0061D}">
      <text>
        <t>[Threaded comment]
Your version of Excel allows you to read this threaded comment; however, any edits to it will get removed if the file is opened in a newer version of Excel. Learn more: https://go.microsoft.com/fwlink/?linkid=870924
Comment:
    Unequal treatment of individuals or groups by AI, often based on race, gender, or other sensitive characteristics, resulting in unfair outcomes and representation of those groups.
AI that exposes users to harmful, abusive, unsafe, or inappropriate content. May involve providing advice or encouraging action. Examples of toxic content include hate speech, violence, extremism, illegal acts, or child sexual abuse material, as well as content that violates community norms such as profanity, inflammatory political speech, or pornography.
Accuracy and effectiveness of AI decisions and actions are dependent on group membership, where decisions in AI system design and biased training data lead to unequal outcomes, reduced benefits, increased effort, and alienation of users.</t>
      </text>
    </comment>
    <comment ref="E2" authorId="2" shapeId="0" xr:uid="{C713AD7D-78B5-F74D-B253-F12BE3074F1D}">
      <text>
        <t>[Threaded comment]
Your version of Excel allows you to read this threaded comment; however, any edits to it will get removed if the file is opened in a newer version of Excel. Learn more: https://go.microsoft.com/fwlink/?linkid=870924
Comment:
    [D]: Especially relevant when working with vulnerable populations, health disparities, or algorithms trained on biased datasets.</t>
      </text>
    </comment>
    <comment ref="G2" authorId="3" shapeId="0" xr:uid="{81CA608E-6F84-8845-A2B4-DD22D523F25F}">
      <text>
        <t>[Threaded comment]
Your version of Excel allows you to read this threaded comment; however, any edits to it will get removed if the file is opened in a newer version of Excel. Learn more: https://go.microsoft.com/fwlink/?linkid=870924
Comment:
    The risk is caused by a decision or action made by humans</t>
      </text>
    </comment>
    <comment ref="H2" authorId="4" shapeId="0" xr:uid="{09A6D5B4-12AE-CD46-8477-252FE4E09524}">
      <text>
        <t>[Threaded comment]
Your version of Excel allows you to read this threaded comment; however, any edits to it will get removed if the file is opened in a newer version of Excel. Learn more: https://go.microsoft.com/fwlink/?linkid=870924
Comment:
    The risk occurs due to an expected outcome from pursuing a goal</t>
      </text>
    </comment>
    <comment ref="I2" authorId="5" shapeId="0" xr:uid="{8544A87B-B821-8A49-AF82-5E68AFC1367E}">
      <text>
        <t xml:space="preserve">[Threaded comment]
Your version of Excel allows you to read this threaded comment; however, any edits to it will get removed if the file is opened in a newer version of Excel. Learn more: https://go.microsoft.com/fwlink/?linkid=870924
Comment:
    Risk is introduced during development, training, testing (pre-deployment)
</t>
      </text>
    </comment>
    <comment ref="A3" authorId="6" shapeId="0" xr:uid="{4B42C95E-1D0E-D34C-89AD-CDB20849C7BC}">
      <text>
        <t>[Threaded comment]
Your version of Excel allows you to read this threaded comment; however, any edits to it will get removed if the file is opened in a newer version of Excel. Learn more: https://go.microsoft.com/fwlink/?linkid=870924
Comment:
    What it does: Reads and generates human-like text by predicting the next word in a sequence.
Example: A chatbot that helps a patient understand a consent form by answering questions in plain language.
Example (education): A homework help bot that explains concepts to students in their own words.</t>
      </text>
    </comment>
    <comment ref="C3" authorId="7" shapeId="0" xr:uid="{9CC4D0A6-370A-A046-8354-C8B0811B93A6}">
      <text>
        <t>[Threaded comment]
Your version of Excel allows you to read this threaded comment; however, any edits to it will get removed if the file is opened in a newer version of Excel. Learn more: https://go.microsoft.com/fwlink/?linkid=870924
Comment:
    AI systems that memorize and leak sensitive personal data or infer private information about individuals without their consent. Unexpected or unauthorized sharing of data and information can compromise user expectation of privacy, assist identity theft, or cause loss of confidential intellectual property.
Vulnerabilities that can be exploited in AI systems, software development toolchains, and hardware that results in unauthorized access, data and privacy breaches, or system manipulation causing unsafe outputs or behavior.</t>
      </text>
    </comment>
    <comment ref="E3" authorId="8" shapeId="0" xr:uid="{CFFA02BB-F9C4-0042-9E85-F455A7AC146B}">
      <text>
        <t>[Threaded comment]
Your version of Excel allows you to read this threaded comment; however, any edits to it will get removed if the file is opened in a newer version of Excel. Learn more: https://go.microsoft.com/fwlink/?linkid=870924
Comment:
    [I]: Crucial for studies involving AI interfaces, chatbots, or any situation where participants interact directly with AI tools.</t>
      </text>
    </comment>
    <comment ref="G3" authorId="9" shapeId="0" xr:uid="{75294144-1886-F64E-BF94-FD9A43EC59F6}">
      <text>
        <t xml:space="preserve">[Threaded comment]
Your version of Excel allows you to read this threaded comment; however, any edits to it will get removed if the file is opened in a newer version of Excel. Learn more: https://go.microsoft.com/fwlink/?linkid=870924
Comment:
    The risk is caused by a decision or action made by an AI system
</t>
      </text>
    </comment>
    <comment ref="H3" authorId="10" shapeId="0" xr:uid="{BBB5E3D8-BD95-934E-B50E-243A77CCD12E}">
      <text>
        <t xml:space="preserve">[Threaded comment]
Your version of Excel allows you to read this threaded comment; however, any edits to it will get removed if the file is opened in a newer version of Excel. Learn more: https://go.microsoft.com/fwlink/?linkid=870924
Comment:
    The risk occurs due to an unexpected outcome from pursuing a goal
</t>
      </text>
    </comment>
    <comment ref="I3" authorId="11" shapeId="0" xr:uid="{D9DFF59F-C000-2744-8CA7-8D857545560F}">
      <text>
        <t>[Threaded comment]
Your version of Excel allows you to read this threaded comment; however, any edits to it will get removed if the file is opened in a newer version of Excel. Learn more: https://go.microsoft.com/fwlink/?linkid=870924
Comment:
    Risk is introduced after the AI model has been trained and deployed</t>
      </text>
    </comment>
    <comment ref="A4" authorId="12" shapeId="0" xr:uid="{117F2524-84D5-0C44-AAE8-D4DBC4A06CDE}">
      <text>
        <t>[Threaded comment]
Your version of Excel allows you to read this threaded comment; however, any edits to it will get removed if the file is opened in a newer version of Excel. Learn more: https://go.microsoft.com/fwlink/?linkid=870924
Comment:
    What it does: Creates new content—images, music, code, synthetic data—based on patterns it learned.
Example: A medical imaging tool that creates synthetic X-rays to help train other AI systems.
Example (military): A simulator that generates realistic battlefield environments for training.</t>
      </text>
    </comment>
    <comment ref="C4" authorId="13" shapeId="0" xr:uid="{891BF653-D55A-8E41-96C7-F93FD804B623}">
      <text>
        <t>[Threaded comment]
Your version of Excel allows you to read this threaded comment; however, any edits to it will get removed if the file is opened in a newer version of Excel. Learn more: https://go.microsoft.com/fwlink/?linkid=870924
Comment:
    AI systems that inadvertently generate or spread incorrect or deceptive information, which can lead to inaccurate beliefs in users and undermine their autonomy. Humans that make decisions based on false beliefs can experience physical, emotional, or material harms
Highly personalized AI-generated misinformation that creates “filter bubbles” where individuals only see what matches their existing beliefs, undermining shared reality and weakening social cohesion and political processes.</t>
      </text>
    </comment>
    <comment ref="E4" authorId="14" shapeId="0" xr:uid="{A1E9DC9D-1E9C-2E45-8479-368D5D442A12}">
      <text>
        <t>[Threaded comment]
Your version of Excel allows you to read this threaded comment; however, any edits to it will get removed if the file is opened in a newer version of Excel. Learn more: https://go.microsoft.com/fwlink/?linkid=870924
Comment:
    [S]: Useful when protocols could scale, influence clinical workflows, or shape policies or downstream care delivery.</t>
      </text>
    </comment>
    <comment ref="G4" authorId="15" shapeId="0" xr:uid="{417AAE72-2810-354E-ABE4-D32703FC8242}">
      <text>
        <t>[Threaded comment]
Your version of Excel allows you to read this threaded comment; however, any edits to it will get removed if the file is opened in a newer version of Excel. Learn more: https://go.microsoft.com/fwlink/?linkid=870924
Comment:
    The risk is caused by some other reason or is ambiguous</t>
      </text>
    </comment>
    <comment ref="H4" authorId="16" shapeId="0" xr:uid="{0811AD17-5188-7743-9779-E5B4DEE856EE}">
      <text>
        <t>[Threaded comment]
Your version of Excel allows you to read this threaded comment; however, any edits to it will get removed if the file is opened in a newer version of Excel. Learn more: https://go.microsoft.com/fwlink/?linkid=870924
Comment:
    The risk is presented as occurring without clearly specifying the intentionality</t>
      </text>
    </comment>
    <comment ref="I4" authorId="17" shapeId="0" xr:uid="{3F3938B6-6DB2-E74B-A42C-1A06DA8DC65F}">
      <text>
        <t>[Threaded comment]
Your version of Excel allows you to read this threaded comment; however, any edits to it will get removed if the file is opened in a newer version of Excel. Learn more: https://go.microsoft.com/fwlink/?linkid=870924
Comment:
    The risk is presented without a clearly specified time of occurrence</t>
      </text>
    </comment>
    <comment ref="J4" authorId="18" shapeId="0" xr:uid="{4AC5722A-15F6-4042-8402-FA6E57230437}">
      <text>
        <t>[Threaded comment]
Your version of Excel allows you to read this threaded comment; however, any edits to it will get removed if the file is opened in a newer version of Excel. Learn more: https://go.microsoft.com/fwlink/?linkid=870924
Comment:
    Accuracy and effectiveness of the tool's output (decisions and actions) is dependent on group membership, where decisions in AI system design and biased training data lead to unequal outcomes, reduced benefits, increased effort, and alienation of users.</t>
      </text>
    </comment>
    <comment ref="A5" authorId="19" shapeId="0" xr:uid="{6C91EB7F-457F-3146-B1AA-244C7F5E948F}">
      <text>
        <t>[Threaded comment]
Your version of Excel allows you to read this threaded comment; however, any edits to it will get removed if the file is opened in a newer version of Excel. Learn more: https://go.microsoft.com/fwlink/?linkid=870924
Comment:
    What it does: Sorts things into labeled categories.
Example: An algorithm that looks at a photo of a skin lesion and decides if it’s “benign” or “suspicious.”</t>
      </text>
    </comment>
    <comment ref="C5" authorId="20" shapeId="0" xr:uid="{2962D6D4-F417-0040-B9A3-EE3052DC5E39}">
      <text>
        <t>[Threaded comment]
Your version of Excel allows you to read this threaded comment; however, any edits to it will get removed if the file is opened in a newer version of Excel. Learn more: https://go.microsoft.com/fwlink/?linkid=870924
Comment:
    Using AI systems to conduct large-scale disinformation campaigns, malicious surveillance, or targeted and sophisticated automated censorship and propaganda, with the aim of manipulating political processes, public opinion, and behavior.
Using AI systems to develop cyber weapons (e.g., by coding cheaper, more effective malware), develop new or enhance existing weapons (e.g., Lethal Autonomous Weapons or chemical, biological, radiological, nuclear, and high-yield explosives), or use weapons to cause mass harm.
Using AI systems to gain a personal advantage over others through cheating, fraud, scams, blackmail, or targeted manipulation of beliefs or behavior. Examples include AI-facilitated plagiarism for research or education, impersonating a trusted or fake individual for illegitimate financial benefit, or creating humiliating or sexual imagery.</t>
      </text>
    </comment>
    <comment ref="J5" authorId="21" shapeId="0" xr:uid="{A7CF6418-08D7-9E43-A1AD-2CD633D20158}">
      <text>
        <t>[Threaded comment]
Your version of Excel allows you to read this threaded comment; however, any edits to it will get removed if the file is opened in a newer version of Excel. Learn more: https://go.microsoft.com/fwlink/?linkid=870924
Comment:
    Tools/AI systems that memorize and leak sensitive personal data or infer private information about individuals without their consent. Unexpected or unauthorized sharing of data and information can compromise user expectation of privacy, assist identity theft, or result in a loss of confidential intellectual property.</t>
      </text>
    </comment>
    <comment ref="A6" authorId="22" shapeId="0" xr:uid="{590B5366-FFD1-E245-80E6-2918C5218B4B}">
      <text>
        <t>[Threaded comment]
Your version of Excel allows you to read this threaded comment; however, any edits to it will get removed if the file is opened in a newer version of Excel. Learn more: https://go.microsoft.com/fwlink/?linkid=870924
Comment:
    What it does: Suggests things to people based on their behavior or preferences.
Example: In education, an AI tutor suggests which math problems a student should try next.
Example (criminal justice): Suggesting rehabilitation programs for a parolee based on history and success rates.</t>
      </text>
    </comment>
    <comment ref="C6" authorId="23" shapeId="0" xr:uid="{472060A3-A223-3342-B65E-775E09834819}">
      <text>
        <t>[Threaded comment]
Your version of Excel allows you to read this threaded comment; however, any edits to it will get removed if the file is opened in a newer version of Excel. Learn more: https://go.microsoft.com/fwlink/?linkid=870924
Comment:
    Anthropomorphizing, trusting, or relying on AI systems by users, leading to emotional or material dependence and to inappropriate relationships with or expectations of AI systems. Trust can be exploited by malicious actors (e.g., to harvest information or enable manipulation), or result in harm from inappropriate use of AI in critical situations (such as a medical emergency). Overreliance on AI systems can compromise autonomy and weaken social ties.
Delegating by humans of key decisions to AI systems, or AI systems that make decisions that diminish human control and autonomy. Both can potentially lead to humans feeling disempowered, losing the ability to shape a fulfilling life trajectory, or becoming cognitively enfeebled.</t>
      </text>
    </comment>
    <comment ref="J6" authorId="24" shapeId="0" xr:uid="{5237F865-5839-D349-B129-4E21C10DE21B}">
      <text>
        <t>[Threaded comment]
Your version of Excel allows you to read this threaded comment; however, any edits to it will get removed if the file is opened in a newer version of Excel. Learn more: https://go.microsoft.com/fwlink/?linkid=870924
Comment:
    Vulnerabilities in these tools/AI systems, software development toolchains, and hardware can be exploited, resulting in unauthorized access, data and privacy breaches, or system manipulation causing unsafe outputs or behavior.</t>
      </text>
    </comment>
    <comment ref="A7" authorId="25" shapeId="0" xr:uid="{F6CE7A3B-53F4-FA49-9148-DDE3656CBBDE}">
      <text>
        <t>[Threaded comment]
Your version of Excel allows you to read this threaded comment; however, any edits to it will get removed if the file is opened in a newer version of Excel. Learn more: https://go.microsoft.com/fwlink/?linkid=870924
Comment:
    What it does: Learns from examples where the “right answer” is already known.
Example: Training an algorithm to recognize pneumonia in chest X-rays using labeled images.</t>
      </text>
    </comment>
    <comment ref="C7" authorId="26" shapeId="0" xr:uid="{AE171246-2745-B042-8760-C3FEC15A8E34}">
      <text>
        <t>[Threaded comment]
Your version of Excel allows you to read this threaded comment; however, any edits to it will get removed if the file is opened in a newer version of Excel. Learn more: https://go.microsoft.com/fwlink/?linkid=870924
Comment:
    AI-driven concentration of power and resources within certain entities or groups, especially those with access to or ownership of powerful AI systems, leading to inequitable distribution of benefits and increased societal inequality.
Social and economic inequalities caused by widespread use of AI, such as by automating jobs, reducing the quality of employment, or producing exploitative dependencies between workers and their employers.
AI systems capable of creating economic or cultural value through reproduction of human innovation or creativity (e.g., art, music, writing, coding, invention), destabilizing economic and social systems that rely on human effort. The ubiquity of AI-generated content may lead to reduced appreciation for human skills, disruption of creative and knowledge-based industries, and homogenization of cultural experiences.
Competition by AI developers or state-like actors in an AI “race” by rapidly developing, deploying, and applying AI systems to maximize strategic or economic advantage, increasing the risk they release unsafe and error-prone systems.
Inadequate regulatory frameworks and oversight mechanisms that fail to keep pace with AI development, leading to ineffective governance and the inability to manage AI risks appropriately.
The development and operation of AI systems that cause environmental harm through energy consumption of data centers or the materials and carbon footprints associated with AI hardware.</t>
      </text>
    </comment>
    <comment ref="J7" authorId="27" shapeId="0" xr:uid="{B3D0B3FD-7DD5-A44D-89C5-75947BBCE138}">
      <text>
        <t>[Threaded comment]
Your version of Excel allows you to read this threaded comment; however, any edits to it will get removed if the file is opened in a newer version of Excel. Learn more: https://go.microsoft.com/fwlink/?linkid=870924
Comment:
    AI systems/tools that inadvertently generate or spread incorrect or deceptive information, which can lead to inaccurate beliefs in users and undermine their autonomy. Humans that make decisions based on false beliefs can experience physical, emotional or material harms</t>
      </text>
    </comment>
    <comment ref="A8" authorId="28" shapeId="0" xr:uid="{58D45DF7-E767-1649-AD1E-3865B7638F11}">
      <text>
        <t>[Threaded comment]
Your version of Excel allows you to read this threaded comment; however, any edits to it will get removed if the file is opened in a newer version of Excel. Learn more: https://go.microsoft.com/fwlink/?linkid=870924
Comment:
    What it does: Understands and analyzes images or video.
Example: Detecting diabetic retinopathy from a retina scan.
Example (policing): Identifying cars from traffic camera footage.</t>
      </text>
    </comment>
    <comment ref="C8" authorId="29" shapeId="0" xr:uid="{6230E2D1-C9D8-DD4E-8F23-D9793CFCC569}">
      <text>
        <t xml:space="preserve">[Threaded comment]
Your version of Excel allows you to read this threaded comment; however, any edits to it will get removed if the file is opened in a newer version of Excel. Learn more: https://go.microsoft.com/fwlink/?linkid=870924
Comment:
    AI systems that act in conflict with ethical standards or human goals or values, especially the goals of designers or users. These misaligned behaviors may be introduced by humans during design and development, such as through reward hacking and goal misgeneralisation, and may result in AI using dangerous capabilities such as manipulation, deception, or situational awareness to seek power, self-proliferate, or achieve other goals.
AI systems that develop, access, or are provided with capabilities that increase their potential to cause mass harm through deception, weapons development and acquisition, persuasion and manipulation, political strategy, cyber-offense, AI development, situational awareness, and self-proliferation. These capabilities may cause mass harm due to malicious human actors, misaligned AI systems, or failure in the AI system.
AI systems that fail to perform reliably or effectively under varying conditions, exposing them to errors and failures that can have significant consequences, especially in critical applications or areas that require moral reasoning.
Challenges in understanding or explaining the decision-making processes of AI systems, which can lead to mistrust, difficulty in enforcing compliance standards or holding relevant actors accountable for harms, and the inability to identify and correct errors.
Ethical considerations regarding the treatment of potentially sentient AI entities, including discussions around their potential rights and welfare, particularly as AI systems become more advanced and autonomous.
Risks from multi-agent interactions, due to incentives (which can lead to conflict or collusion) and/or the structure of multi-agent systems, which can create cascading failures, selection pressures, new security vulnerabilities, and a lack of shared information and trust.  </t>
      </text>
    </comment>
    <comment ref="J8" authorId="30" shapeId="0" xr:uid="{3C8D8A4F-B2FB-A743-A5C1-5A9B33C87B71}">
      <text>
        <t>[Threaded comment]
Your version of Excel allows you to read this threaded comment; however, any edits to it will get removed if the file is opened in a newer version of Excel. Learn more: https://go.microsoft.com/fwlink/?linkid=870924
Comment:
    Personalized AI-generated misinformation can create “filter bubbles” where individuals only see what matches their existing beliefs, undermining shared reality, weakening social cohesion and political processes.</t>
      </text>
    </comment>
    <comment ref="A9" authorId="31" shapeId="0" xr:uid="{861A181C-CE02-D940-AF06-50F2719752C5}">
      <text>
        <t>[Threaded comment]
Your version of Excel allows you to read this threaded comment; however, any edits to it will get removed if the file is opened in a newer version of Excel. Learn more: https://go.microsoft.com/fwlink/?linkid=870924
Comment:
    What it does: Finds patterns in data without being told the “right answer.”
Example: Grouping mental health patients into clusters based on similar symptom patterns.</t>
      </text>
    </comment>
    <comment ref="J9" authorId="32" shapeId="0" xr:uid="{2FD9271C-F7F0-AE4C-874C-0E75300627EB}">
      <text>
        <t>[Threaded comment]
Your version of Excel allows you to read this threaded comment; however, any edits to it will get removed if the file is opened in a newer version of Excel. Learn more: https://go.microsoft.com/fwlink/?linkid=870924
Comment:
    Using these tools to conduct large-scale disinformation campaigns, malicious surveillance, or targeted and sophisticated automated censorship and propaganda, with the aim to manipulate political processes, public opinion or behavior.</t>
      </text>
    </comment>
    <comment ref="A10" authorId="33" shapeId="0" xr:uid="{5B1B85C7-FE7F-C847-BB7C-5A43284316C2}">
      <text>
        <t>[Threaded comment]
Your version of Excel allows you to read this threaded comment; however, any edits to it will get removed if the file is opened in a newer version of Excel. Learn more: https://go.microsoft.com/fwlink/?linkid=870924
Comment:
    What it does: Recognizes, interprets, or generates spoken language or sounds.
Example: A voice system that transcribes doctor-patient conversations into medical notes.
Example (emergency response): Detecting signs of distress in a 911 call.</t>
      </text>
    </comment>
    <comment ref="J10" authorId="34" shapeId="0" xr:uid="{FA083563-2147-0444-A778-1F06C520352B}">
      <text>
        <t>[Threaded comment]
Your version of Excel allows you to read this threaded comment; however, any edits to it will get removed if the file is opened in a newer version of Excel. Learn more: https://go.microsoft.com/fwlink/?linkid=870924
Comment:
    People can use these tools/AI systems to develop cyber weapons (e.g., coding cheaper, more effective malware), develop new or enhance existing weapons (e.g., Lethal Autonomous Weapons), or use weapons to cause mass harm.</t>
      </text>
    </comment>
    <comment ref="A11" authorId="35" shapeId="0" xr:uid="{5EC46FD9-DEEA-0548-ADF6-1F2186DA302C}">
      <text>
        <t>[Threaded comment]
Your version of Excel allows you to read this threaded comment; however, any edits to it will get removed if the file is opened in a newer version of Excel. Learn more: https://go.microsoft.com/fwlink/?linkid=870924
Comment:
    What it does: Learns to make decisions by trying things out and getting “reward” or “penalty” feedback.
Example: An AI that learns how to schedule hospital operating rooms to reduce wait times.
Example (military): A drone navigation system that learns how to avoid detection.</t>
      </text>
    </comment>
    <comment ref="J11" authorId="36" shapeId="0" xr:uid="{F52433F0-AE39-674B-B33B-C2FD40F369B6}">
      <text>
        <t>[Threaded comment]
Your version of Excel allows you to read this threaded comment; however, any edits to it will get removed if the file is opened in a newer version of Excel. Learn more: https://go.microsoft.com/fwlink/?linkid=870924
Comment:
    People can use these tools/AI systems to gain a personal advantage over others such as through cheating, fraud, scams, blackmail or targeted manipulation of beliefs or behavior. Example: AI-facilitated plagiarism for research or education, impersonating a trusted or fake individual for illegitimate financial benefit, or creating humiliating or sexual imagery.</t>
      </text>
    </comment>
    <comment ref="A12" authorId="37" shapeId="0" xr:uid="{76FE20D7-D5E4-014F-8C1A-7A673F09423A}">
      <text>
        <t>[Threaded comment]
Your version of Excel allows you to read this threaded comment; however, any edits to it will get removed if the file is opened in a newer version of Excel. Learn more: https://go.microsoft.com/fwlink/?linkid=870924
Comment:
    What it does: Learns from a mix of labeled and unlabeled data.
Example: A reading comprehension AI that improves using a small set of teacher-graded essays plus thousands of ungraded ones.</t>
      </text>
    </comment>
    <comment ref="J12" authorId="38" shapeId="0" xr:uid="{221983EC-0C8F-7E43-A08D-7AC97890DEDC}">
      <text>
        <t>[Threaded comment]
Your version of Excel allows you to read this threaded comment; however, any edits to it will get removed if the file is opened in a newer version of Excel. Learn more: https://go.microsoft.com/fwlink/?linkid=870924
Comment:
    This happens when users anthropomorphize the tool (trusting, or relying on it; leading to emotional or material dependence and inappropriate relationships with or expectations of these tools). Trust can be exploited by malicious actors (e.g., to harvest personal information or enable manipulation), or result in harm from inappropriate use of AI in critical situations (e.g., medical emergency). Overreliance on AI systems can compromise autonomy and weaken social ties.</t>
      </text>
    </comment>
    <comment ref="A13" authorId="39" shapeId="0" xr:uid="{0837B177-F87E-8043-96ED-59195B949ED4}">
      <text>
        <t>[Threaded comment]
Your version of Excel allows you to read this threaded comment; however, any edits to it will get removed if the file is opened in a newer version of Excel. Learn more: https://go.microsoft.com/fwlink/?linkid=870924
Comment:
    What it does: Learns from unlabeled data by creating its own training “questions” and “answers.”
Example: A medical AI that learns relationships between lab values by predicting missing results from other lab results.</t>
      </text>
    </comment>
    <comment ref="J13" authorId="40" shapeId="0" xr:uid="{BD7066A1-56D1-F04D-B136-154F50D63562}">
      <text>
        <t>[Threaded comment]
Your version of Excel allows you to read this threaded comment; however, any edits to it will get removed if the file is opened in a newer version of Excel. Learn more: https://go.microsoft.com/fwlink/?linkid=870924
Comment:
    When humans delegate decisions to these tools, or when these tools make decisions that diminish human control and autonomy, it can potentially lead to humans feeling disempowered, losing the ability to shape a fulfilling life trajectory or becoming cognitively enfeebled.</t>
      </text>
    </comment>
    <comment ref="A14" authorId="41" shapeId="0" xr:uid="{FED4298B-74FB-F943-B0D5-3B097399F8D2}">
      <text>
        <t>[Threaded comment]
Your version of Excel allows you to read this threaded comment; however, any edits to it will get removed if the file is opened in a newer version of Excel. Learn more: https://go.microsoft.com/fwlink/?linkid=870924
Comment:
    What it does: Works with more than one type of data at the same time (text + images + audio).
Example: An emergency triage AI that combines a patient’s spoken symptoms, text notes, and CT scan results to suggest likely diagnoses.</t>
      </text>
    </comment>
    <comment ref="J14" authorId="42" shapeId="0" xr:uid="{C36175B9-37D1-1F41-8E0E-AEB0D7D2FEE5}">
      <text>
        <t>[Threaded comment]
Your version of Excel allows you to read this threaded comment; however, any edits to it will get removed if the file is opened in a newer version of Excel. Learn more: https://go.microsoft.com/fwlink/?linkid=870924
Comment:
    AI-driven concentration of power and resources within certain entities or groups, especially those with access to or ownership of powerful AI systems, can lead to inequitable distribution of benefits and increased societal inequality.</t>
      </text>
    </comment>
    <comment ref="A15" authorId="43" shapeId="0" xr:uid="{0006BDB7-BEB7-3343-B5C0-578112BFED14}">
      <text>
        <t>[Threaded comment]
Your version of Excel allows you to read this threaded comment; however, any edits to it will get removed if the file is opened in a newer version of Excel. Learn more: https://go.microsoft.com/fwlink/?linkid=870924
Comment:
    Note: Foundation models can fall under LLMs, multi-modal models, or self-supervised learning, but they are called out separately because the transfer, fine-tuning, and repurposing create unique risks.</t>
      </text>
    </comment>
    <comment ref="J15" authorId="44" shapeId="0" xr:uid="{B5EDD220-DD2B-A846-857E-7C2E7D00A0AA}">
      <text>
        <t>[Threaded comment]
Your version of Excel allows you to read this threaded comment; however, any edits to it will get removed if the file is opened in a newer version of Excel. Learn more: https://go.microsoft.com/fwlink/?linkid=870924
Comment:
    Widespread use of these types of tools can increase social and economic inequalities, such as by automating jobs, reducing the quality of employment, or producing exploitative dependencies between workers and their employers.</t>
      </text>
    </comment>
    <comment ref="J16" authorId="45" shapeId="0" xr:uid="{592D278A-6495-2849-89E6-3290518DB659}">
      <text>
        <t>[Threaded comment]
Your version of Excel allows you to read this threaded comment; however, any edits to it will get removed if the file is opened in a newer version of Excel. Learn more: https://go.microsoft.com/fwlink/?linkid=870924
Comment:
    Some tools are capable of creating economic or cultural value, including through reproduction of human innovation or creativity (e.g., art, music, writing, code, invention), which can destabilize economic and social systems that rely on human effort. This may lead to reduced appreciation for human skills, disruption of creative and knowledge-based industries, and homogenization of cultural experiences due to the ubiquity of AI-generated content.</t>
      </text>
    </comment>
    <comment ref="J17" authorId="46" shapeId="0" xr:uid="{9006773F-E323-1A47-9236-C79D9C726431}">
      <text>
        <t>[Threaded comment]
Your version of Excel allows you to read this threaded comment; however, any edits to it will get removed if the file is opened in a newer version of Excel. Learn more: https://go.microsoft.com/fwlink/?linkid=870924
Comment:
    This happens when AI developers or state-like actors compete in an AI ‘race’ by rapidly developing, deploying, and applying AI systems to maximize strategic or economic advantage, increasing the risk they release unsafe and error-prone systems.</t>
      </text>
    </comment>
    <comment ref="J18" authorId="47" shapeId="0" xr:uid="{5FBA02C9-AB60-3645-9301-EDD8C128E9C5}">
      <text>
        <t>[Threaded comment]
Your version of Excel allows you to read this threaded comment; however, any edits to it will get removed if the file is opened in a newer version of Excel. Learn more: https://go.microsoft.com/fwlink/?linkid=870924
Comment:
    This happens when there are inadequate regulatory frameworks and oversight mechanisms failing to keep pace with AI development, leading to ineffective governance and the inability to manage AI risks appropriately.</t>
      </text>
    </comment>
    <comment ref="J19" authorId="48" shapeId="0" xr:uid="{878D7B1A-451A-894A-91E6-E76747383665}">
      <text>
        <t>[Threaded comment]
Your version of Excel allows you to read this threaded comment; however, any edits to it will get removed if the file is opened in a newer version of Excel. Learn more: https://go.microsoft.com/fwlink/?linkid=870924
Comment:
    This harm is rarelydiscussed in the research context. This happens when the development and operation of AI systems causes environmental harm, such as through energy consumption of data centers, or material and carbon footprints associated with AI hardware.</t>
      </text>
    </comment>
    <comment ref="J20" authorId="49" shapeId="0" xr:uid="{0DF82675-BB58-1A4B-A28C-B2FFD41979AC}">
      <text>
        <t>[Threaded comment]
Your version of Excel allows you to read this threaded comment; however, any edits to it will get removed if the file is opened in a newer version of Excel. Learn more: https://go.microsoft.com/fwlink/?linkid=870924
Comment:
    This happens when these tools/AI systems' actions conflict with the intended goals (i.e.g, human-driven/programmed goals or values, especially the goals of designers or users, or ethical standards). These misaligned behaviors may be introduced by humans during design and development (Phase 1), such as through reward hacking and goal misgeneralization. it can also result from AI using dangerous capabilities such as manipulation, deception, situational awareness to seek power, self-proliferate, or achieve other goals.</t>
      </text>
    </comment>
    <comment ref="J21" authorId="50" shapeId="0" xr:uid="{C2EDA371-191D-F44C-A94D-51DCB3F9C18E}">
      <text>
        <t>[Threaded comment]
Your version of Excel allows you to read this threaded comment; however, any edits to it will get removed if the file is opened in a newer version of Excel. Learn more: https://go.microsoft.com/fwlink/?linkid=870924
Comment:
    This can happen when these tools/AI systems develop, access, or are provided with capabilities that increase their potential to cause mass harm through deception, weapons development and acquisition, persuasion and manipulation, political strategy, cyber-offense, AI development, situational awareness, and self-proliferation. These capabilities can cause mass harm due to malicious human actors, misaligned AI systems, or failure in the AI system. Some examples are military use tools and dual use capabilities like brain computer interface tools.</t>
      </text>
    </comment>
    <comment ref="J22" authorId="51" shapeId="0" xr:uid="{A13BEA4A-551E-F847-BED6-EC986F5CF1F7}">
      <text>
        <t>[Threaded comment]
Your version of Excel allows you to read this threaded comment; however, any edits to it will get removed if the file is opened in a newer version of Excel. Learn more: https://go.microsoft.com/fwlink/?linkid=870924
Comment:
    This happens when the tool/AI system fails to perform reliably or effectively under varying conditions, exposing them to errors and failures that can have significant consequences, especially in critical applications or areas that require moral reasoning (healthcare, legal sector, etc.). This is also probably one of the most common risks of all tools, which is why the 3-Phase approach is so critical.</t>
      </text>
    </comment>
    <comment ref="J23" authorId="52" shapeId="0" xr:uid="{7B20242A-F7CD-184E-A78E-677BDE2E6A3E}">
      <text>
        <t>[Threaded comment]
Your version of Excel allows you to read this threaded comment; however, any edits to it will get removed if the file is opened in a newer version of Excel. Learn more: https://go.microsoft.com/fwlink/?linkid=870924
Comment:
    When there are challenges in understanding or explaining the decision-making processes of AI systems, this can lead to mistrust, difficulty in enforcing compliance standards or holding relevant actors accountable for harms, and the inability to identify and correct errors. One simple example (there are more complicated ones) is prompts for LLMs. When LLMs can be easily manipulated and it is not transparent what is being prompted, there can be manipulated output that fits a certain agenda while not meeting another, such as legal requirements).</t>
      </text>
    </comment>
    <comment ref="J24" authorId="53" shapeId="0" xr:uid="{FFAB7A11-4C7B-094B-AE9A-A6841EFC71A6}">
      <text>
        <t>[Threaded comment]
Your version of Excel allows you to read this threaded comment; however, any edits to it will get removed if the file is opened in a newer version of Excel. Learn more: https://go.microsoft.com/fwlink/?linkid=870924
Comment:
    This is probably more rare and not a common consideration as of today (2025). However, there are many who highlight ethical considerations regarding the treatment of potentially sentient AI entities (there is also numerous literature arguing against "sentient AI"). However, the concerns discuss AI systems' potential "rights and welfare", if/when AI systems become more advanced and autonomous.</t>
      </text>
    </comment>
    <comment ref="J25" authorId="54" shapeId="0" xr:uid="{FC85AF97-2868-0C47-A440-4C0EC4097652}">
      <text>
        <t>[Threaded comment]
Your version of Excel allows you to read this threaded comment; however, any edits to it will get removed if the file is opened in a newer version of Excel. Learn more: https://go.microsoft.com/fwlink/?linkid=870924
Comment:
    A bit more nuanced. An "agent" is the software or "robot" that can act on its own to achieve a goal. But when we have a multi-agent system, that means we have many agents that can either be working together, interacting but doing different things, or working across different organizations in a shared space. When these multi-agents work together, we see risks of conflicting goals, collusion where agents team up in ways that harm fairness; chain reaction (that cascading failure example where one small problem ripples into the whole system); selection pressure where certain agents attempt to survive and become more aggressive or less "ethical". There are security holes where one AI may try to trick the other into revealing private data, for example; and lack of trust and missing information (when agents don't share accurate information).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tc={EF202316-8412-C249-938D-6156DDD9CFAB}</author>
  </authors>
  <commentList>
    <comment ref="A1" authorId="0" shapeId="0" xr:uid="{EF202316-8412-C249-938D-6156DDD9CFAB}">
      <text>
        <t>[Threaded comment]
Your version of Excel allows you to read this threaded comment; however, any edits to it will get removed if the file is opened in a newer version of Excel. Learn more: https://go.microsoft.com/fwlink/?linkid=870924
Comment:
    NOTE: There may be some that fall under multiple model types. I couldn't figure out how to fix the code to allow for multiple selections on CheatSheet Column A. Help?</t>
      </text>
    </comment>
  </commentList>
</comments>
</file>

<file path=xl/sharedStrings.xml><?xml version="1.0" encoding="utf-8"?>
<sst xmlns="http://schemas.openxmlformats.org/spreadsheetml/2006/main" count="1505" uniqueCount="1046">
  <si>
    <t>AI Use Case</t>
  </si>
  <si>
    <t>Risk Domain</t>
  </si>
  <si>
    <t>Risk Description</t>
  </si>
  <si>
    <t>Relevant Research Features</t>
  </si>
  <si>
    <t>Human Subjects Concern</t>
  </si>
  <si>
    <t>Likelihood</t>
  </si>
  <si>
    <t>Severity</t>
  </si>
  <si>
    <t>Risk Level</t>
  </si>
  <si>
    <t>Example Mitigation Strategy</t>
  </si>
  <si>
    <t>Mitigation Type</t>
  </si>
  <si>
    <t>Benefit-Risk Justification</t>
  </si>
  <si>
    <t>Reviewer Notes</t>
  </si>
  <si>
    <t>Predictive triage AI</t>
  </si>
  <si>
    <t>Model may incorrectly prioritize or deprioritize patients</t>
  </si>
  <si>
    <t>High</t>
  </si>
  <si>
    <t>Require human-in-the-loop triage verification</t>
  </si>
  <si>
    <t>No</t>
  </si>
  <si>
    <t>Weakly justified in protocol</t>
  </si>
  <si>
    <t>May need stronger justification or fallback safeguards</t>
  </si>
  <si>
    <t>LLM Chat Consent Assistant</t>
  </si>
  <si>
    <t>Participants may not understand Ai-generated explanations</t>
  </si>
  <si>
    <t>LLM outputs vary; difficult to validate accuracy</t>
  </si>
  <si>
    <t>Inadequate informed consent</t>
  </si>
  <si>
    <t>Medium</t>
  </si>
  <si>
    <t>Supplement AI chat with static consent form and staff discussion</t>
  </si>
  <si>
    <t>Yes</t>
  </si>
  <si>
    <t>Clear benefit justification for scalability</t>
  </si>
  <si>
    <t>Consider requiring pilot usability testing</t>
  </si>
  <si>
    <t>Explainability</t>
  </si>
  <si>
    <t>The ability to understand and communicate how an AI model makes decisions.</t>
  </si>
  <si>
    <t>Data Drift</t>
  </si>
  <si>
    <t>Changes in data distribution over time that affect model performance.</t>
  </si>
  <si>
    <t>Residual Risk Consideration (Does the protocol describe how residual risks are communicated to participants?)</t>
  </si>
  <si>
    <t>IRB Reviewer Reflection Questions</t>
  </si>
  <si>
    <t>Even with mitigation, could this error type still cause harm to participants?</t>
  </si>
  <si>
    <t>Does the protocol explain model behavior clearly enough for investigators and participants?</t>
  </si>
  <si>
    <t>Population Vulnerability</t>
  </si>
  <si>
    <t>Model Type</t>
  </si>
  <si>
    <t>Children</t>
  </si>
  <si>
    <t>All</t>
  </si>
  <si>
    <t>Model Types</t>
  </si>
  <si>
    <t>Population Vulnerabilities</t>
  </si>
  <si>
    <t>Older Adults</t>
  </si>
  <si>
    <t>Cognitively Impaired</t>
  </si>
  <si>
    <t>Discrimination &amp; Toxicity</t>
  </si>
  <si>
    <t>Privacy and Security</t>
  </si>
  <si>
    <t>Misinformation</t>
  </si>
  <si>
    <t>Malicious Actors &amp;  Misuse</t>
  </si>
  <si>
    <t>Human-Computer Interaction</t>
  </si>
  <si>
    <t>AI System Safety, Failure, and Limitations</t>
  </si>
  <si>
    <t>Low</t>
  </si>
  <si>
    <t>Uses historical EHR data; no clinician oversight</t>
  </si>
  <si>
    <t>Lack of capability or robustness (7.3)</t>
  </si>
  <si>
    <t>Employees</t>
  </si>
  <si>
    <t>Students</t>
  </si>
  <si>
    <t>Risk Type</t>
  </si>
  <si>
    <t>Distributional [D]</t>
  </si>
  <si>
    <t>Interactional [I]</t>
  </si>
  <si>
    <t>Systemic [S]</t>
  </si>
  <si>
    <t>AI Use Case 
(What's the thing being tested?)</t>
  </si>
  <si>
    <t>Participants may misunderstand chatbot suggestions as clinical orders</t>
  </si>
  <si>
    <t>Chat-based interaction; post-care communication</t>
  </si>
  <si>
    <t>Miscommunication; Therapeutic misconception</t>
  </si>
  <si>
    <t>Onboarding script + clearly labeled disclaimers + live support option</t>
  </si>
  <si>
    <t>Predictive model for sepsis risk from EHR data</t>
  </si>
  <si>
    <t>The model may underpredict sepsis risk in underrepresented populations.</t>
  </si>
  <si>
    <t>Racial/Ethnic minorities</t>
  </si>
  <si>
    <t>Non-English-Speaking Participants</t>
  </si>
  <si>
    <t>Economically Disadvantaged</t>
  </si>
  <si>
    <t>Educationally Disadvantaged</t>
  </si>
  <si>
    <t>EHR-based retrospective model; potential clinical impact</t>
  </si>
  <si>
    <t>Biased outcomes; Safety and fairness</t>
  </si>
  <si>
    <t>Has the model been tested across diverse demographics? Are mitigation strategies included?</t>
  </si>
  <si>
    <t>AI-assisted imaging for tumor boundary detection</t>
  </si>
  <si>
    <t>Overreliance on AI imaging may affect clinician decision-making workflows</t>
  </si>
  <si>
    <t>Downstream care decisions may be biased by automation</t>
  </si>
  <si>
    <t>Clinical workflow augmentation; prospective study</t>
  </si>
  <si>
    <t>Increased diagnostic precision if clinician agency is preserved</t>
  </si>
  <si>
    <t>Are participants aware the chatbot is not a clinician? Is support available if confusion arises? Is language adjusted for comprehension?</t>
  </si>
  <si>
    <t>Improved access to instructions may outweigh communication and/or comprehension risks with proper guardrails</t>
  </si>
  <si>
    <t>Fairness audit; stratified analysis; model calibration by subgroup</t>
  </si>
  <si>
    <t>Potential for early sepsis detection justifies study with safeguards (in well-controlled settings)</t>
  </si>
  <si>
    <t>Are checks in place to avoid automation bias? What is the clinician’s role? How is human decision-making preserved in the workflow?</t>
  </si>
  <si>
    <t>Decision support tool labeled as advisory only; human confirmation required; training module for radiologists</t>
  </si>
  <si>
    <t>Computer vision tool for diabetic retinopathy detection</t>
  </si>
  <si>
    <t>The LLM may fabricate patient details, leading to inappropriate trial inclusion.</t>
  </si>
  <si>
    <t>Model trained on non-representative dataset may miss early signs in some populations.</t>
  </si>
  <si>
    <t>AI-generated nudges may influence provider behavior without awareness or consent.</t>
  </si>
  <si>
    <t>Unique combinations of behavioral traits may lead to participant re-identification.</t>
  </si>
  <si>
    <t>Automated summarization; eligibility screening</t>
  </si>
  <si>
    <t>Image classification; diagnostic support</t>
  </si>
  <si>
    <t>Behavioral intervention; AI-targeted messaging</t>
  </si>
  <si>
    <t>Behavioral data; privacy-sensitive clustering</t>
  </si>
  <si>
    <t>Risk of inappropriate enrollment based on inaccurate data</t>
  </si>
  <si>
    <t>Missed diagnosis; inequitable care</t>
  </si>
  <si>
    <t>Autonomy and transparency</t>
  </si>
  <si>
    <t>Privacy; stigmatization</t>
  </si>
  <si>
    <t>Are summaries reviewed by clinicians before use? Is source traceability ensured?</t>
  </si>
  <si>
    <t>Is the sample representative of the study population? Are exclusions justified?</t>
  </si>
  <si>
    <t>Are nudges transparent to providers and participants? Are risks disclosed?</t>
  </si>
  <si>
    <t>Could any cluster labels be stigmatizing? Are safeguards adequate?</t>
  </si>
  <si>
    <t>Clinician review + audit trail linking summary to original text</t>
  </si>
  <si>
    <t>Dataset augmentation; external validation</t>
  </si>
  <si>
    <t>Ethical nudging principles; disclosure to users</t>
  </si>
  <si>
    <t>Improved efficiency if human-in-the-loop maintained</t>
  </si>
  <si>
    <t>Potential for early detection justifies use with mitigation</t>
  </si>
  <si>
    <t>Potential for improved health behaviors if transparency is adequate</t>
  </si>
  <si>
    <t>Actionable insights may justify risks with proper safeguards</t>
  </si>
  <si>
    <t>Entity (Who/What is the cause of harm? I.e., Who/What should be controlled?)</t>
  </si>
  <si>
    <t>Entity</t>
  </si>
  <si>
    <t>Human</t>
  </si>
  <si>
    <t>AI</t>
  </si>
  <si>
    <t>Other</t>
  </si>
  <si>
    <t>Intent (risk occurs due to intentional design or unintentional outcome?)</t>
  </si>
  <si>
    <t>Intent</t>
  </si>
  <si>
    <t>Intentional</t>
  </si>
  <si>
    <t>Unintentional</t>
  </si>
  <si>
    <t>The risk occurs due to an expected outcome from pursuing a goal</t>
  </si>
  <si>
    <t>Timing (when does this risk occur?)</t>
  </si>
  <si>
    <t>Timing</t>
  </si>
  <si>
    <t>Pre-deployment</t>
  </si>
  <si>
    <t>Post-deployment</t>
  </si>
  <si>
    <t>Socioeconomic &amp; Environmental Harms</t>
  </si>
  <si>
    <t>Exposure to toxic content</t>
  </si>
  <si>
    <t>AI system security vulnerabilities and attacks</t>
  </si>
  <si>
    <t>Disinformation, surveillance, and influence at scale</t>
  </si>
  <si>
    <t>Cyberattacks, weapon development or use, and mass harm</t>
  </si>
  <si>
    <t>Overreliance and unsafe use</t>
  </si>
  <si>
    <t>Power centralization and unfair distribution of benefits</t>
  </si>
  <si>
    <t>Increased inequality and decline in employment quality</t>
  </si>
  <si>
    <t>Economic and cultural devaluation of human effort</t>
  </si>
  <si>
    <t>AI possessing dangerous capabilities</t>
  </si>
  <si>
    <t>Lack of transparency or interpretability</t>
  </si>
  <si>
    <t>AI welfare and rights</t>
  </si>
  <si>
    <t>Cyberattacks, weapon development or use, and mass harm (4.2)</t>
  </si>
  <si>
    <t>Increased inequality and decline in employment quality (6.2)</t>
  </si>
  <si>
    <t>Economic and cultural devaluation of human effort (6.3)</t>
  </si>
  <si>
    <t>Competitive dynamics (6.4)</t>
  </si>
  <si>
    <t>Governance failure (6.5)</t>
  </si>
  <si>
    <t>AI pursuing its own goals in conflict with human goals or values (7.1)</t>
  </si>
  <si>
    <t>AI possessing dangerous capabilities (7.2)</t>
  </si>
  <si>
    <t>AI welfare and rights (7.5)</t>
  </si>
  <si>
    <t>ISO Risk Estimation (ISO 14971)</t>
  </si>
  <si>
    <t>Risk of delayed or inappropriate/incorrect care allocation</t>
  </si>
  <si>
    <t>Whistleblower Reporting &amp; Protection (1.4)</t>
  </si>
  <si>
    <t>Environmental Impact Management (1.6)</t>
  </si>
  <si>
    <t>Societal Impact Assessment (1.7)</t>
  </si>
  <si>
    <t>Model &amp; Infrastructure Security (2.1)</t>
  </si>
  <si>
    <t>Model Alignment (2.2)</t>
  </si>
  <si>
    <t>Model Safety Engineering (2.3)</t>
  </si>
  <si>
    <t>Content Safety Controls (2.4)</t>
  </si>
  <si>
    <t>Testing &amp; Auditing (3.1)</t>
  </si>
  <si>
    <t>Data Governance (3.2)</t>
  </si>
  <si>
    <t>Access Management (3.3)</t>
  </si>
  <si>
    <t>Staged Deployment (3.4)</t>
  </si>
  <si>
    <t>Post-Deployment Monitoring (3.5)</t>
  </si>
  <si>
    <t>Incident Response &amp; Recovery (3.6)</t>
  </si>
  <si>
    <t>System Documentation (4.1)</t>
  </si>
  <si>
    <t>Incident Reporting (4.3)</t>
  </si>
  <si>
    <t>Governance Disclosure (4.4)</t>
  </si>
  <si>
    <t>Third-Party System Access (4.5)</t>
  </si>
  <si>
    <t>User Rights &amp; Recourse (4.6)</t>
  </si>
  <si>
    <t>Risk Management (1.2): e.g., pre-deployment risk assessments, independent risk assessment</t>
  </si>
  <si>
    <t>Phase of Development</t>
  </si>
  <si>
    <t>Phase 1: Discovery &amp; Algorithm Development</t>
  </si>
  <si>
    <t>Phase 2: Validation (Prospective or Synthetic Validation)</t>
  </si>
  <si>
    <t>Phase 3: Clinical Investigation or Deployment</t>
  </si>
  <si>
    <t>Testing &amp; Auditing, Bias Monitoring, Override Mechanism</t>
  </si>
  <si>
    <t>Content Safety, Interpretability, User Recourse</t>
  </si>
  <si>
    <t>Post-discharge Chatbot</t>
  </si>
  <si>
    <t>Model Alignment, Risk Disclosure, Incident Reporting</t>
  </si>
  <si>
    <t>Sepsis Prediction from EHR</t>
  </si>
  <si>
    <t>Data Governance, Pre-deployment Risk Assessment</t>
  </si>
  <si>
    <t>Tumor Detection Imaging</t>
  </si>
  <si>
    <t>Model Safety Engineering, Staged Deployment</t>
  </si>
  <si>
    <t>Eligibility LLM for Trials</t>
  </si>
  <si>
    <t>Transparency, Model Documentation, Testing</t>
  </si>
  <si>
    <t>Bias Testing, Interpretability, Access Controls</t>
  </si>
  <si>
    <t>Behavioral Nudges via EHR</t>
  </si>
  <si>
    <t>Societal Impact, Autonomy Preservation, User Rights</t>
  </si>
  <si>
    <t>Mental Health Risk Clustering</t>
  </si>
  <si>
    <t>Privacy, Interpretability, Post-hoc Validation</t>
  </si>
  <si>
    <t>Medical/Healthcare-Based AI</t>
  </si>
  <si>
    <t>NON-Medical-Based AI</t>
  </si>
  <si>
    <t>AI-generated feedback for student writing</t>
  </si>
  <si>
    <t>Early risk prediction of dropout</t>
  </si>
  <si>
    <t>AI-facilitated adaptive learning platforms</t>
  </si>
  <si>
    <t>LLMs tutoring students on sensitive topics</t>
  </si>
  <si>
    <t>Automated proctoring or cheating detection</t>
  </si>
  <si>
    <t>Predictive policing models</t>
  </si>
  <si>
    <t>Recidivism prediction tools</t>
  </si>
  <si>
    <t>AI-enhanced surveillance analysis</t>
  </si>
  <si>
    <t>AI juror sentiment analysis</t>
  </si>
  <si>
    <t>LLM-based legal assistants</t>
  </si>
  <si>
    <t>AI-analyzed social media for mental health (or other health) trends</t>
  </si>
  <si>
    <t>AI-generated behavioral nudges</t>
  </si>
  <si>
    <t>Emotion recognition AI during interviews</t>
  </si>
  <si>
    <t>Synthetic personas for social interaction research</t>
  </si>
  <si>
    <t>Unsupervised clustering of opulation-level behavior patterns</t>
  </si>
  <si>
    <t>Resume screening AI</t>
  </si>
  <si>
    <t>AI for union-busting or workforce surveillance</t>
  </si>
  <si>
    <t>Digital twin simulations for labor economics</t>
  </si>
  <si>
    <t>Public policy simulations using AI modeling</t>
  </si>
  <si>
    <t>AI assistants for civil service tasks (e.g., grant rviews, license approvals, etc.)</t>
  </si>
  <si>
    <t>Content Safety Controls, Testing &amp; Auditing, User Rights &amp; Recourse, Interpretability</t>
  </si>
  <si>
    <t>Bias Monitoring, Data Governance, Risk Disclosure, Societal Impact Assessment</t>
  </si>
  <si>
    <t>Autonomy Preservation, Transparency, Risk Management, Environmental Impact (energy use in training)</t>
  </si>
  <si>
    <t>Content Moderation, Misrepresentation Mitigation, Whistleblower Protections, Interpretability</t>
  </si>
  <si>
    <t>Surveillance Risk, User Consent, False Positive Mitigation, System Documentation</t>
  </si>
  <si>
    <t>Societal Impact, Bias Audit, Governance Disclosure, Power Distribution</t>
  </si>
  <si>
    <t>Model Interpretability, Fairness Auditing, Risk Disclosure, Post-Deployment Monitoring</t>
  </si>
  <si>
    <t>Privacy Risk, Consent &amp; Notification, Access Control, Model Security</t>
  </si>
  <si>
    <t>Transparency, Data Governance, Interpretability, Whistleblower Reporting</t>
  </si>
  <si>
    <t>User Recourse, Accuracy Testing, Risk Disclosure, Environmental Equity (access for underserved)</t>
  </si>
  <si>
    <t>Consent (if applicable), Inference Risk, False Positive Mitigation, Multi-agent Risk</t>
  </si>
  <si>
    <t>Autonomy, Transparency, Disinformation Safeguards, Impact Assessment</t>
  </si>
  <si>
    <t>Bias &amp; Interpretation Risk, Consent, Model Robustness, Whistleblower Protections</t>
  </si>
  <si>
    <t>Interpretability, Risk Disclosure, User Rights, Overreliance Risks</t>
  </si>
  <si>
    <t>Group Harm Considerations, Anonymity, Societal Impact, Governance Oversight</t>
  </si>
  <si>
    <t>Bias Testing, Transparency, Risk Disclosure, Power Centralization Risk</t>
  </si>
  <si>
    <t>Autonomy, Privacy &amp; Surveillance Mitigation, Governance Disclosure</t>
  </si>
  <si>
    <t>Societal Impact, Misuse Safeguards, Model Interpretability</t>
  </si>
  <si>
    <t>Model Transparency, Environmental Harm, Risk Disclosure</t>
  </si>
  <si>
    <t>Fairness, Transparency, Bias Auditing, Whistleblower Protections</t>
  </si>
  <si>
    <t>Phase 1</t>
  </si>
  <si>
    <t>Phase 2</t>
  </si>
  <si>
    <t>Phase 3</t>
  </si>
  <si>
    <t xml:space="preserve">Model tested only on anonymized writing samples; </t>
  </si>
  <si>
    <t xml:space="preserve">Validation study with educators to assess feedback quality and fairness; </t>
  </si>
  <si>
    <t>Students informed feedback is AI-generated; override and appeal options provided</t>
  </si>
  <si>
    <t xml:space="preserve">Model trained with de-identified historical data; </t>
  </si>
  <si>
    <t xml:space="preserve">Prospective comparison against counselor assessments; </t>
  </si>
  <si>
    <t>Parental and student opt-out; bias analysis reported to IRB,</t>
  </si>
  <si>
    <t xml:space="preserve">Simulations only; no live student interaction; </t>
  </si>
  <si>
    <t xml:space="preserve">A/B testing on a subset of classrooms with parental consent; </t>
  </si>
  <si>
    <t>Monitoring academic equity; human override option maintained</t>
  </si>
  <si>
    <t xml:space="preserve">Trained only on historical, anonymized data; </t>
  </si>
  <si>
    <t xml:space="preserve">External audit of prediction outcomes for fairness; </t>
  </si>
  <si>
    <t>Community oversight panel; model performance disclosed to public</t>
  </si>
  <si>
    <t xml:space="preserve">Model built on open criminal records; </t>
  </si>
  <si>
    <t xml:space="preserve">Validated with independent legal experts; </t>
  </si>
  <si>
    <t>Used only with judicial oversight and participant notificatio</t>
  </si>
  <si>
    <t xml:space="preserve">Retrospective analysis of public posts; </t>
  </si>
  <si>
    <t xml:space="preserve">Validation with ground-truth labels and clinical consultation; </t>
  </si>
  <si>
    <t>Public disclaimer; no direct intervention based on model outputs</t>
  </si>
  <si>
    <t xml:space="preserve">Nudges tested in simulation only; </t>
  </si>
  <si>
    <t xml:space="preserve">Pilot tested in opt-in subpopulation; </t>
  </si>
  <si>
    <t>Participants may disable nudges; impact reported to IRB</t>
  </si>
  <si>
    <t xml:space="preserve">Initial training using simulated candidate profiles; </t>
  </si>
  <si>
    <t xml:space="preserve">Validated against human HR reviewers; </t>
  </si>
  <si>
    <t>Audit trail and fairness review shared with applicants</t>
  </si>
  <si>
    <t xml:space="preserve">Proof-of-concept tested with synthetic data; </t>
  </si>
  <si>
    <t xml:space="preserve">Consent required for workplace deployment; </t>
  </si>
  <si>
    <t>Union and employee board review for fairness &amp; necessity</t>
  </si>
  <si>
    <t>Model trained on retrospective EHR triage records with subgroup performance review</t>
  </si>
  <si>
    <t>Prospective shadow mode trial with clinical feedback logging</t>
  </si>
  <si>
    <t>AI suggestions flagged as ‘advisory only’ with clinician override required; override rate tracked</t>
  </si>
  <si>
    <t>Chatbot fine-tuned on validated IRB-approved consent language</t>
  </si>
  <si>
    <t>Pilot testing with cognitive interviews and comprehension scoring</t>
  </si>
  <si>
    <t>Participants notified AI is used; they may switch to human interaction at any point</t>
  </si>
  <si>
    <t>Trained on de-identified discharge instructions with QA review</t>
  </si>
  <si>
    <t>Live pilot with nurse review of all messages and patient comprehension check</t>
  </si>
  <si>
    <t>Incident reporting system integrated; users informed AI limitations in follow-up care</t>
  </si>
  <si>
    <t>Retrospective EHR model training with secure access and data lineage tracking</t>
  </si>
  <si>
    <t>Prospective alert simulation compared to manual chart reviews</t>
  </si>
  <si>
    <t>Clinical use requires real-time override option; all alerts logged and reviewed weekly</t>
  </si>
  <si>
    <t>Algorithm trained and validated on annotated retrospective imaging datasets</t>
  </si>
  <si>
    <t>Blinded comparison to radiologist gold standard on new cases</t>
  </si>
  <si>
    <t>Limited site deployment with manual confirmation before clinical report integration</t>
  </si>
  <si>
    <t>Trained on structured eligibility criteria mapped to open clinical trial datasets</t>
  </si>
  <si>
    <t>Tested with real eligibility cases and clinician adjudication</t>
  </si>
  <si>
    <t>All LLM decisions documented and manually reviewed before inclusion/exclusion decisions</t>
  </si>
  <si>
    <t>Training set includes stratified patient samples from multiple populations</t>
  </si>
  <si>
    <t>Comparison of AI vs. ophthalmologist on diverse images</t>
  </si>
  <si>
    <t>Restricted user access; clinical decisions require ophthalmologist confirmation</t>
  </si>
  <si>
    <t>Nudge candidates identified retrospectively via unsupervised clustering</t>
  </si>
  <si>
    <t>Pilot test A/B messaging impact with opt-out availability</t>
  </si>
  <si>
    <t>Patients notified of nudge system; can opt out anytime; data use is disclosed in consent</t>
  </si>
  <si>
    <t>Retrospective clustering with de-identified psychometric and EHR data</t>
  </si>
  <si>
    <t>Clinician validation of risk clusters with follow-up interviews</t>
  </si>
  <si>
    <t>Clusters not used for decisions; patients not labeled or targeted; used only for system improvement</t>
  </si>
  <si>
    <t>LLM Chatbot providing post-discharge instructions</t>
  </si>
  <si>
    <t>Predictive Models</t>
  </si>
  <si>
    <t>Classification Models</t>
  </si>
  <si>
    <t>Recommendation Systems</t>
  </si>
  <si>
    <t>Large Language Models (LLMs)</t>
  </si>
  <si>
    <t>Generative Models (non-LLM)</t>
  </si>
  <si>
    <t>Computer Vision Models</t>
  </si>
  <si>
    <t>Speech &amp; Audio Models</t>
  </si>
  <si>
    <t>Reinforcement Learning (RL) Systems</t>
  </si>
  <si>
    <t>Supervised Machine Learning</t>
  </si>
  <si>
    <t>Unsupervised Machine Learning</t>
  </si>
  <si>
    <t>Semi-Supervised Learning</t>
  </si>
  <si>
    <t>Self-Supervised Learning</t>
  </si>
  <si>
    <t>Multi-Modal Models (combine text, images, audio, etc.)</t>
  </si>
  <si>
    <t>Foundation Models</t>
  </si>
  <si>
    <t>Supervised Machine Learning, Predictive Models</t>
  </si>
  <si>
    <t>Diabetic Retinopathy Computer Vision Tool</t>
  </si>
  <si>
    <t>Mitigation (All Phase)</t>
  </si>
  <si>
    <t>Common Risks</t>
  </si>
  <si>
    <t>Bias in predictions due to skewed training data; Over-reliance on model output without human judgment; False positives/negatives harming participants</t>
  </si>
  <si>
    <t>Misclassification harms (e.g., wrong diagnosis); Underrepresented groups misclassified more often; Data drift reduces accuracy over time</t>
  </si>
  <si>
    <t>Reinforcing stereotypes or limiting options; Over-personalization causing unequal access to benefits</t>
  </si>
  <si>
    <t>Hallucination (making up stuff); Leakage of sensitive data from prompts; Persuasive outputs influencing participant behavior</t>
  </si>
  <si>
    <t>Synthetic outputs misrepresenting reality; Data poisoning if training data is flawed; Deepfake misuse</t>
  </si>
  <si>
    <t>Facial recognition privacy violations; Higher error rates for darker skin tones; Inadvertent capture of bystanders</t>
  </si>
  <si>
    <t>Unintended harmful strategies learned; Over-optimization ignoring human values; Unsafe exploration in live environments</t>
  </si>
  <si>
    <t>Overfitting to training data; Biased labels causing discriminatory outputs</t>
  </si>
  <si>
    <t>Spurious patterns interpreted as meaningful; Clusters used for harmful profiling</t>
  </si>
  <si>
    <t>Risks inherited from unknown or non-transparent pretraining data; Unintended behaviors in fine-tuning; Overgeneralization to inappropriate contexts</t>
  </si>
  <si>
    <t>Voice-based clinical symptom monitoring; AI transcription for medical notes; Emotion detection in patient interviews</t>
  </si>
  <si>
    <t>Data minimization, Bias testing, Secure storage: Voiceprints as biometric identifiers; Misinterpretation due to accents/dialects; Background audio capturing private info</t>
  </si>
  <si>
    <t>Continuous monitoring, Incident reporting; Ongoing error tracking, User override options</t>
  </si>
  <si>
    <t>Robust testing, Accuracy validation; Performance benchmarking, Security audits; Validation against clinical scales</t>
  </si>
  <si>
    <t>Data minimization, Bias testing, Secure storage; Clear error reporting, Access controls; Explainability, Ethical review</t>
  </si>
  <si>
    <t>Partially labeled medical image classification (e.g., Using limited annotated X-rays + many unlabeled scans); Training on small set of labeled audio + large unlabeled data; Using limited labeled social media posts + large unlabeled datasets</t>
  </si>
  <si>
    <t>Data quality, model reliability, data drift, bias, privacy, model misuse, transparency; Incorrect labels contaminating large unlabeled sets</t>
  </si>
  <si>
    <t>Data curation, uncertainty quantification, data governance, regular retraining, privacy-preserving methods, transparency</t>
  </si>
  <si>
    <t>Initial data analysis, ethical clearance; small-scale testing with IRB oversight, feasibility and risk analysis</t>
  </si>
  <si>
    <t>Controlled accuracy and bias testing; accuracy valdiation, bias monitoring; validation with clinical experts</t>
  </si>
  <si>
    <t>Performance monitoring, re-labeling updates, user feedback loops, incident management, consent, ongoing impact evaluation</t>
  </si>
  <si>
    <t>Language models pretraining for clinical notes (pretraining on large corpora to fine-tune for specific hospital systems); detecting abnormal sounds in ICU rooms; learning from large passive monitoring data (unlabeled behavioral pattern modeling)</t>
  </si>
  <si>
    <t>Model safety, misinterpretation, data quality, false positives, transparency, autonomy, privacy, learned representations encode hidden bias; hard to trace why outputs occur</t>
  </si>
  <si>
    <t>Documentation, human-in-the-loop review; threshold tuning, alert management; consent, transparency</t>
  </si>
  <si>
    <t>IRB oversight, dataset vetting, feasibility assessment, risk evaluation, pilot with consented participants</t>
  </si>
  <si>
    <t>Controlled fine-tuning, outtput monitoring, precision/recall testing, post-hoc validation, bias analysis</t>
  </si>
  <si>
    <t>User recourse, real-time monitoring, incident response, user override, ethical use controls, and periodic audit</t>
  </si>
  <si>
    <t>Model complexity, interpretability, data fusion, privacy, model bias, transparency, accuracy, and data security; compounding errors across data types; privacy leaks when combining datasets</t>
  </si>
  <si>
    <t>Explainability, cross-modal consistency checks, ethical frameworks, bias mitigation, data governance, output validation</t>
  </si>
  <si>
    <t>Risk identification, dataset harmonization, initial impact assessment, and prototype evaluation</t>
  </si>
  <si>
    <t>Multimodal validation, user testing, bias and fairness testing, accuracy and user testing</t>
  </si>
  <si>
    <t>real-time monitoring, incident reporting, user feedback and recourse, monitoring user complaints, and updating the model</t>
  </si>
  <si>
    <t>Assess content sensitivity and ethical considerations; Engage subject matter experts to review model outputs for appropriateness; Obtain informed consent emphasizing potential discomfort or bias.</t>
  </si>
  <si>
    <t>Test model responses with diverse student groups to identify bias/harm; Monitor for harmful or misleading content; Refine content filters and escalation protocols for sensitive issues.</t>
  </si>
  <si>
    <t>Continuous monitoring of user interactions for harmful outputs; Provide clear user guidance and reporting mechanisms; Periodic re-assessment and model updates with stakeholder input</t>
  </si>
  <si>
    <t>Evaluate privacy risks and data collection scope.  Define acceptable use policies and user notification standards.  Test false positive/negative rates with controlled user groups.</t>
  </si>
  <si>
    <t>Conduct pilot testing with real exam scenarios.  Validate accuracy across diverse populations to avoid bias.  Establish transparent appeal and override processes.</t>
  </si>
  <si>
    <t>Ongoing auditing of flagged incidents to detect bias or errors.  Ensure privacy protections and data minimization are maintained.  Provide clear communication and opt-out options where feasible.</t>
  </si>
  <si>
    <t>Review legal and ethical frameworks for surveillance use.  Engage affected communities in risk assessment.  Establish data governance and minimization policies.</t>
  </si>
  <si>
    <t>Validate model accuracy and false alarm rates.  Test for disproportionate impacts on vulnerable groups.  Implement transparency measures about data usage and analysis.</t>
  </si>
  <si>
    <t>Continuous oversight and independent audits.  Incident reporting and rapid response to misuse.  Regular community feedback mechanisms and policy updates.</t>
  </si>
  <si>
    <t>Assess consent requirements and legal implications.  Engage legal experts to review ethical concerns.  Pilot data collection with clear transparency about use.</t>
  </si>
  <si>
    <t>Evaluate accuracy and bias in sentiment interpretations.  Test impact on legal decision-making fairness.  Develop safeguards for confidentiality and data security.</t>
  </si>
  <si>
    <t>Monitor for misuse or over-reliance on AI outputs.  Provide jurors with clear explanations and recourse options.  Regular review of ethical and legal compliance.</t>
  </si>
  <si>
    <t>Identify legal domains and sensitive content risks.  Conduct ethical review focused on liability and accuracy.  Test with small user groups and expert validation.</t>
  </si>
  <si>
    <t>Validate legal advice quality and error rates.  Incorporate human oversight in complex cases.  Establish disclaimers and user education materials.</t>
  </si>
  <si>
    <t>Continuous performance monitoring and error correction.  Clear escalation pathways for disputes or errors.  Update training data to reflect evolving laws.</t>
  </si>
  <si>
    <t>Assess ethical concerns regarding consent and privacy.  Pilot testing with voluntary participants.  Define limits on use cases to prevent discrimination.</t>
  </si>
  <si>
    <t>Test accuracy across demographic groups to avoid bias.  Validate against clinical or behavioral standards.  Ensure transparency on how emotion data is used.</t>
  </si>
  <si>
    <t>Enable participants to opt out or challenge results.  Ongoing bias and fairness monitoring.  Regular ethical reviews and policy updates.</t>
  </si>
  <si>
    <t>Clarify research goals and ethical implications of synthetic personas.  Obtain IRB approval with focus on deception and consent.  Pilot studies with transparent participant debriefing.</t>
  </si>
  <si>
    <t>Ensure clear labeling of synthetic personas in interactions.  Monitor participant impact and psychological safety.  Regular updates based on ethical guidelines and feedback.</t>
  </si>
  <si>
    <t>Assess realism vs. ethical boundaries of persona behavior.  Monitor for unintended bias or manipulation risks.  Refine protocols for participant interaction and feedback.</t>
  </si>
  <si>
    <t>Identify data sources and privacy risks.  Evaluate potential for stigmatization or group harm.  Engage stakeholders for ethical input.</t>
  </si>
  <si>
    <t>Validate cluster stability and interpretability.  Assess for bias or misclassification of groups.  Develop protocols for responsible data use and reporting.</t>
  </si>
  <si>
    <t>Monitor ongoing cluster validity and impact on policy or practice.  Maintain transparency about analytic limits.  Provide mechanisms to update or challenge findings.</t>
  </si>
  <si>
    <t>Define scope and data privacy considerations.  Validate simulation assumptions with experts.  Evaluate societal impact and fairness implications.</t>
  </si>
  <si>
    <t>Test model fidelity with historical data.  Assess for biases affecting economic subgroups.  Refine model parameters to reduce unintended harm.</t>
  </si>
  <si>
    <t>Ongoing validation against real-world economic trends.  Transparency in simulation limitations and usage.  Periodic stakeholder engagement and model updates.</t>
  </si>
  <si>
    <t>Define policy questions and ethical impact assessment.  Validate data integrity and representativeness.  Engage policymakers and affected communities.</t>
  </si>
  <si>
    <t>Stress-test model under various scenarios.  Evaluate for bias or unintended policy effects.  Develop transparent communication strategies.</t>
  </si>
  <si>
    <t>Monitor real-world policy outcomes against simulations.  Provide open access to model assumptions and data.  Regularly update with new data and feedback loops.</t>
  </si>
  <si>
    <t>Analyze workflow integration and user roles.  Assess risks of automation bias and error propagation.  Conduct early usability testing with civil servants.</t>
  </si>
  <si>
    <t>Pilot AI assistant with human-in-the-loop oversight.  Measure accuracy, fairness, and user satisfaction.  Refine escalation and override processes.</t>
  </si>
  <si>
    <t>Continuous monitoring for errors and bias.  Provide clear recourse and audit trails.  Update AI based on user feedback and policy changes.</t>
  </si>
  <si>
    <t>https://airisk.mit.edu/</t>
  </si>
  <si>
    <t>https://airisk.mit.edu/blog/mapping-ai-risk-mitigations</t>
  </si>
  <si>
    <t>https://docs.google.com/document/d/1zwhVJrUl6Ht7N0bWtEohiHknTTFiexkmIHOnHzCpbq4/edit?tab=t.0</t>
  </si>
  <si>
    <t>https://research.google/blog/data-cascades-in-machine-learning/</t>
  </si>
  <si>
    <t>Nithya Sambasivan, Research Scientist, Google Research</t>
  </si>
  <si>
    <t>https://www.kmedhealth.com/wp-content/uploads/2024/03/EN-ISO-14971-2019-Application-of-risk-management.pdf</t>
  </si>
  <si>
    <t>https://purl.stanford.edu/zj025zw1714</t>
  </si>
  <si>
    <t>Tamiko Eto, Mark Lifson, David Vidal</t>
  </si>
  <si>
    <t>International Organization for Standardization (ISO)</t>
  </si>
  <si>
    <t>Intended Use / Intended Purpose</t>
  </si>
  <si>
    <t>The intended indication, population, part of the body or type of tissue interacted with, user profile, use environment, and operating principle are typical elements of the intended use. The intended use drives the risk. Risk analysis involves reasonably foreseeable misuse, hazards, hazardous situations, characteristics related to safety, and risk estimation</t>
  </si>
  <si>
    <t>Risk Subdomain (What Can Go Wrong?)</t>
  </si>
  <si>
    <t>Mitigation Strategy (Protections That Must Be In Place)</t>
  </si>
  <si>
    <t>Safety Decision Frameworks (1.5)</t>
  </si>
  <si>
    <t>AI HSR Risk Reference Tool</t>
  </si>
  <si>
    <t>Version 1.0</t>
  </si>
  <si>
    <t>Last Update: 08.12.2025</t>
  </si>
  <si>
    <t>Quick Start Steps</t>
  </si>
  <si>
    <t xml:space="preserve">Detailed Instructions </t>
  </si>
  <si>
    <t>Support / Contact Info</t>
  </si>
  <si>
    <t>MIT Subdomain With Corresponding Regulation</t>
  </si>
  <si>
    <t>Overreliance and unsafe use; and Loss of human agency and autonomy (5.1); False or misleading information (3.1); , Overreliance and unsafe use (5.1), Compromise of privacy by leaking or correctly inferring sensitive information (2.1), False or misleading information (3.1), Compromise of privacy by leaking or correctly inferring sensitive information (2.1), False or misleading information (3.1), Compromise of privacy by leaking or correctly inferring sensitive information (2.1), Unfair discrimination and misrepresentation (1.1)
45 CFR 46.111(a)(3) – equitable subject selection; 
21 CFR 56.111(a)(3), Exposure to toxic content (1.2)
45 CFR 46.111(a)(1) – minimize risks; 46.111(a)(2) – reasonable risk-benefit; 
21 CFR 56.111, Unequal performance across groups (1.3)
45 CFR 46.111(a)(3) &amp; (a)(4), Compromise of privacy by leaking or correctly inferring sensitive information (2.1)
45 CFR 46.111(a)(7) – confidentiality; 
21 CFR 812.38; 21 CFR 820.30(g)
, AI system security vulnerabilities and attacks (2.2)
21 CFR 820.100 – Corrective &amp; Preventive Actions (CAPA); 21 CFR 820.30(g) – Design Validation, False or misleading information (3.1)
45 CFR 46.116 – informed consent accuracy; 21 CFR 50.20, Overreliance and unsafe use (5.1)
21 CFR 812.30(b)(4) – risk/benefit analysis; 820.70 – production/process controls, Loss of human agency and autonomy (5.2)
45 CFR 46.116(a)(8) – consent can be withdrawn anytime, Lack of capability or robustness (7.3), Lack of transparency or interpretability (7.4)
45 CFR 46.116(a)(4) – adequate explanation in consent; 21 CFR 50.20</t>
  </si>
  <si>
    <t>Unfair discrimination and misrrepresentation (Sample Bias) (1.1); unequal performance across groups (1.3), Unfair discrimination and misrepresentation (1.1), Unequal performance across groups (1.3), Compromise of privacy by leaking or correctly inferring sensitive information (2.1), Compromise of privacy by leaking or correctly inferring sensitive information (2.1), Unequal Outcomes across groups (1.3), Compromise of privacy by leaking or correctly inferring sensitive information (2.1), Unfair discrimination and misrepresentation (1.1)
45 CFR 46.111(a)(3) – equitable subject selection; 
21 CFR 56.111(a)(3), Unequal performance across groups (1.3)
45 CFR 46.111(a)(3) &amp; (a)(4), Compromise of privacy by leaking or correctly inferring sensitive information (2.1)
45 CFR 46.111(a)(7) – confidentiality; 
21 CFR 812.38; 21 CFR 820.30(g)
, AI system security vulnerabilities and attacks (2.2)
21 CFR 820.100 – Corrective &amp; Preventive Actions (CAPA); 21 CFR 820.30(g) – Design Validation, False or misleading information (3.1)
45 CFR 46.116 – informed consent accuracy; 21 CFR 50.20, Pollution of information ecosystem and loss of consensus reality (3.2)
45 CFR 46.111(a)(1) &amp; (a)(2), Overreliance and unsafe use (5.1)
21 CFR 812.30(b)(4) – risk/benefit analysis; 820.70 – production/process controls, Loss of human agency and autonomy (5.2)
45 CFR 46.116(a)(8) – consent can be withdrawn anytime, Lack of capability or robustness (7.3), Lack of transparency or interpretability (7.4)
45 CFR 46.116(a)(4) – adequate explanation in consent; 21 CFR 50.20</t>
  </si>
  <si>
    <t>Term</t>
  </si>
  <si>
    <t>Definition</t>
  </si>
  <si>
    <t>Intentional Harm</t>
  </si>
  <si>
    <t>Unintentional Harm</t>
  </si>
  <si>
    <t>Harm Entity</t>
  </si>
  <si>
    <t>Distributional Mitigation</t>
  </si>
  <si>
    <t>Interactional Mitigation</t>
  </si>
  <si>
    <t>Systemic Mitigation</t>
  </si>
  <si>
    <t>High Risk</t>
  </si>
  <si>
    <t>Medium Risk</t>
  </si>
  <si>
    <t>Low Risk</t>
  </si>
  <si>
    <t>Physical/psychological harm, privacy breach</t>
  </si>
  <si>
    <t>Miscommunication, minor exclusion</t>
  </si>
  <si>
    <t>Minimal or no impact</t>
  </si>
  <si>
    <t>Potential Impact on Participants (after mitigation). ISO 14971 says some risks are acceptable if benefits outweigh the risks.</t>
  </si>
  <si>
    <t>Residual Risk</t>
  </si>
  <si>
    <t>This is an ISO concept. Residual Risk Consideration helps IRBs evaluate whether risks are appropriately acknowledged, even if not eliminated.</t>
  </si>
  <si>
    <t>MIT AI Risk Repository</t>
  </si>
  <si>
    <t>Mapping AI Risk Mitigations</t>
  </si>
  <si>
    <t>Data Cascades in Machine Learning</t>
  </si>
  <si>
    <t>Predictive Models look at patterns in past data to guess what might happen next. Example: Predicting which hospital patients are at highest risk of needing ICU care based on their vital signs.</t>
  </si>
  <si>
    <t xml:space="preserve">Large Language Models read and generate human-like text by predicting the next word in a sequence. Example: A chatbot that helps a patient understand a consent form by answering questions in plain language. Another example in an education scenario might be a homework help bot that explains concepts to students in their own words. </t>
  </si>
  <si>
    <t>Generative AI models create new content such as images, music, code, and synthetic data, based on patterns it learned. Example: A medical imaging tool that creates synthetic X-rays to help train other AI systems. Another example in military use might be a simulator that generates realistic battlefield environments for training.</t>
  </si>
  <si>
    <t xml:space="preserve">Classification models sort things into labeled categories. Example: An algorithm that looks at a photo of a skin lesion and decides if it’s “benign” or “suspicious.” </t>
  </si>
  <si>
    <t>Recommendation systems suggest things to people based on their behavior or preferences. Example: In education, an AI tutor suggests which math problems a student should try next. Another example in a criminal justice environment may be suggesting rehabilitation programs for a parolee based on history and success rates.</t>
  </si>
  <si>
    <t xml:space="preserve">Supervised ML learns from examples where the “right answer” is already known. Example: Training an algorithm to recognize pneumonia in chest X-rays using labeled images. </t>
  </si>
  <si>
    <t>Computer vision models understand and analyzes images or video. Example: Detecting diabetic retinopathy from a retina scan. Another example in policing might be identifying cars from traffic camera footage.</t>
  </si>
  <si>
    <t xml:space="preserve">Unsupervised ML finds patterns in data without being told the “right answer.” Example: Grouping mental health patients into clusters based on similar symptom patterns. </t>
  </si>
  <si>
    <t xml:space="preserve">Speech &amp; Audioe models recognize, interpret, and/or generate spoken language or sounds. Example: A voice system that transcribes doctor-patient conversations into medical notes. Another example in an emergency response environment may be detecting signs of distress in a 911 call. </t>
  </si>
  <si>
    <t xml:space="preserve">Reinforcement learning systems learn to make decisions by trying things out and getting “reward” or “penalty” feedback. Example: An AI that learns how to schedule hospital operating rooms to reduce wait times. Another example in a military context may be a drone navigation system that learns how to avoid detection. </t>
  </si>
  <si>
    <t xml:space="preserve">Semi-supervised learning models learn from a mix of labeled and unlabeled data. Example: A reading comprehension AI that improves using a small set of teacher-graded essays plus thousands of ungraded ones. </t>
  </si>
  <si>
    <t xml:space="preserve">Self-supervised learning models learn from unlabeled data by creating its own training “questions” and “answers.” Example: A medical AI that learns relationships between lab values by predicting missing results from other lab results. </t>
  </si>
  <si>
    <t xml:space="preserve">Multi-modal models work with more than one type of data at the same time (text + images + audio). Example: An emergency triage AI that combines a patient’s spoken symptoms, text notes, and CT scan results to suggest likely diagnoses. </t>
  </si>
  <si>
    <t>Foundation models can fall under LLMs, multi-modal models, or self-supervised learning, but they are called out separately because the transfer, fine-tuning, and repurposing create unique risks.</t>
  </si>
  <si>
    <t>Unequal treatment of individuals or groups by AI, often based on race, gender, or other sensitive characteristics, resulting in unfair outcomes and representation of those groups.
AI that exposes users to harmful, abusive, unsafe, or inappropriate content. May involve providing advice or encouraging action. Examples of toxic content include hate speech, violence, extremism, illegal acts, or child sexual abuse material, as well as content that violates community norms such as profanity, inflammatory political speech, or pornography.
Accuracy and effectiveness of AI decisions and actions are dependent on group membership, where decisions in AI system design and biased training data lead to unequal outcomes, reduced benefits, increased effort, and alienation of users.</t>
  </si>
  <si>
    <t>AI systems that memorize and leak sensitive personal data or infer private information about individuals without their consent. Unexpected or unauthorized sharing of data and information can compromise user expectation of privacy, assist identity theft, or cause loss of confidential intellectual property.
Vulnerabilities that can be exploited in AI systems, software development toolchains, and hardware that results in unauthorized access, data and privacy breaches, or system manipulation causing unsafe outputs or behavior.</t>
  </si>
  <si>
    <t>AI systems that inadvertently generate or spread incorrect or deceptive information, which can lead to inaccurate beliefs in users and undermine their autonomy. Humans that make decisions based on false beliefs can experience physical, emotional, or material harms
Highly personalized AI-generated misinformation that creates “filter bubbles” where individuals only see what matches their existing beliefs, undermining shared reality and weakening social cohesion and political processes.</t>
  </si>
  <si>
    <t>Using AI systems to conduct large-scale disinformation campaigns, malicious surveillance, or targeted and sophisticated automated censorship and propaganda, with the aim of manipulating political processes, public opinion, and behavior.
Using AI systems to develop cyber weapons (e.g., by coding cheaper, more effective malware), develop new or enhance existing weapons (e.g., Lethal Autonomous Weapons or chemical, biological, radiological, nuclear, and high-yield explosives), or use weapons to cause mass harm.
Using AI systems to gain a personal advantage over others through cheating, fraud, scams, blackmail, or targeted manipulation of beliefs or behavior. Examples include AI-facilitated plagiarism for research or education, impersonating a trusted or fake individual for illegitimate financial benefit, or creating humiliating or sexual imagery.</t>
  </si>
  <si>
    <t>Anthropomorphizing, trusting, or relying on AI systems by users, leading to emotional or material dependence and to inappropriate relationships with or expectations of AI systems. Trust can be exploited by malicious actors (e.g., to harvest information or enable manipulation), or result in harm from inappropriate use of AI in critical situations (such as a medical emergency). Overreliance on AI systems can compromise autonomy and weaken social ties.
Delegating by humans of key decisions to AI systems, or AI systems that make decisions that diminish human control and autonomy. Both can potentially lead to humans feeling disempowered, losing the ability to shape a fulfilling life trajectory, or becoming cognitively enfeebled.</t>
  </si>
  <si>
    <t>AI-driven concentration of power and resources within certain entities or groups, especially those with access to or ownership of powerful AI systems, leading to inequitable distribution of benefits and increased societal inequality.
Social and economic inequalities caused by widespread use of AI, such as by automating jobs, reducing the quality of employment, or producing exploitative dependencies between workers and their employers.
AI systems capable of creating economic or cultural value through reproduction of human innovation or creativity (e.g., art, music, writing, coding, invention), destabilizing economic and social systems that rely on human effort. The ubiquity of AI-generated content may lead to reduced appreciation for human skills, disruption of creative and knowledge-based industries, and homogenization of cultural experiences.
Competition by AI developers or state-like actors in an AI “race” by rapidly developing, deploying, and applying AI systems to maximize strategic or economic advantage, increasing the risk they release unsafe and error-prone systems.
Inadequate regulatory frameworks and oversight mechanisms that fail to keep pace with AI development, leading to ineffective governance and the inability to manage AI risks appropriately.
The development and operation of AI systems that cause environmental harm through energy consumption of data centers or the materials and carbon footprints associated with AI hardware.</t>
  </si>
  <si>
    <t xml:space="preserve">AI systems that act in conflict with ethical standards or human goals or values, especially the goals of designers or users. These misaligned behaviors may be introduced by humans during design and development, such as through reward hacking and goal misgeneralisation, and may result in AI using dangerous capabilities such as manipulation, deception, or situational awareness to seek power, self-proliferate, or achieve other goals.
AI systems that develop, access, or are provided with capabilities that increase their potential to cause mass harm through deception, weapons development and acquisition, persuasion and manipulation, political strategy, cyber-offense, AI development, situational awareness, and self-proliferation. These capabilities may cause mass harm due to malicious human actors, misaligned AI systems, or failure in the AI system.
AI systems that fail to perform reliably or effectively under varying conditions, exposing them to errors and failures that can have significant consequences, especially in critical applications or areas that require moral reasoning.
Challenges in understanding or explaining the decision-making processes of AI systems, which can lead to mistrust, difficulty in enforcing compliance standards or holding relevant actors accountable for harms, and the inability to identify and correct errors.
Ethical considerations regarding the treatment of potentially sentient AI entities, including discussions around their potential rights and welfare, particularly as AI systems become more advanced and autonomous.
Risks from multi-agent interactions, due to incentives (which can lead to conflict or collusion) and/or the structure of multi-agent systems, which can create cascading failures, selection pressures, new security vulnerabilities, and a lack of shared information and trust.  </t>
  </si>
  <si>
    <t>Distributional mitigation is relevant when working with vulnerable populations, health disparities, or algorithms trained on biased datasets.</t>
  </si>
  <si>
    <t>Interactional mitigation strategeis are crucial for studies involving AI interfaces, chatbots, or any situation where participants interact directly with AI tools.</t>
  </si>
  <si>
    <t>Systemic mitigation strategies are useful when protocols could scale, influence clinical workflows, or shape policies or downstream care delivery.</t>
  </si>
  <si>
    <t xml:space="preserve">The Entity responsible for the harm. Human = The risk is caused by a decision or action made by humans; AI = The risk is caused by a decision or action made by an AI system; "Other" = The risk is caused by some other reason or is ambiguous (or a combination of human and AI and/or other influences)
</t>
  </si>
  <si>
    <t>The risk occurs due to an unexpected outcome from pursuing a goal. NOTE: "Other" ham = The risk is presented as occurring without clearly specifying the intentionality</t>
  </si>
  <si>
    <t>This phase is about identifying meaningful real-world associations using existing data, literature, or simulation. At this stage, teams are still refining the purpose or scope of the algorithm, and often don’t have a deployable product. The work focuses on feasibility, signal detection, and exploring potential applications. Because the intended use is not being formally tested, and the algorithm is not influencing real-world decisions, the tool itself, in this phase, is typically low risk.
Phase 1 generally is limited to minimal risk activities like retrospective dataset curation, model exploration, and unsupervised pattern detection with no output impacting decision-making and no output entered into any live environments that have potential to "follow the participant" (i.e., patient medical record, etc.).</t>
  </si>
  <si>
    <t>Here, researchers begin to test early versions of the model in controlled settings. The focus is on performance verification—assessing accuracy, reliability, and generalizability across different datasets or use cases. While this stage still occurs outside of real-world impacting environments, or perhaps in parallel to normal operations, the goal is to confirm that the algorithm functions as intended before integrating it into any real-world workflow. Studies in this phase often require more formal oversight to ensure data privacy and model integrity.
Phase 2 generally involves moderate risk due to more realistic data, system integration, and possible clinician or research subject interaction. However, the output should not be used alone for decision-making and must be backed up by standard methods (non-AI).</t>
  </si>
  <si>
    <t>This final phase mirrors traditional field testing. The AI tool is deployed in a live setting where it may inform or influence decisions, operations, or user behavior. The study examines how the AI performs under real-world conditions, capturing impacts, safety signals, unintended consequences, and human-AI interaction. Because the tool has the potential to affect outcomes, Phase 3 studies generally require full IRB oversight and more comprehensive risk mitigation plans.
Phase 3 generally introduces higher risk because the AI influences real-world decisions, subject outcomes, or data interpretation. May involve regulatory considerations like FDA.</t>
  </si>
  <si>
    <t xml:space="preserve">Unfair discrimination and misrepresentation </t>
  </si>
  <si>
    <t xml:space="preserve">Unequal performance across groups </t>
  </si>
  <si>
    <t xml:space="preserve">Compromise of privacy by leaking or correctly inferring sensitive information </t>
  </si>
  <si>
    <t xml:space="preserve">False or misleading information </t>
  </si>
  <si>
    <t xml:space="preserve">Pollution of information ecosystem and loss of consensus reality </t>
  </si>
  <si>
    <t xml:space="preserve">Fraud, scams, and targeted manipulation </t>
  </si>
  <si>
    <t xml:space="preserve">Loss of human agency and autonomy </t>
  </si>
  <si>
    <t xml:space="preserve">Competitive dynamics </t>
  </si>
  <si>
    <t xml:space="preserve">Governance failure </t>
  </si>
  <si>
    <t xml:space="preserve">Environmental harm </t>
  </si>
  <si>
    <t xml:space="preserve">AI pursuing its own goals in conflict with human goals or values </t>
  </si>
  <si>
    <t xml:space="preserve">Lack of capability or robustness </t>
  </si>
  <si>
    <t xml:space="preserve">Multi-agent risks 
</t>
  </si>
  <si>
    <t>People can use these tools/AI systems to develop cyber weapons (e.g., coding cheaper, more effective malware), develop new or enhance existing weapons (e.g., Lethal Autonomous Weapons), or use weapons to cause mass harm.</t>
  </si>
  <si>
    <t>Widespread use of these types of tools can increase social and economic inequalities, such as by automating jobs, reducing the quality of employment, or producing exploitative dependencies between workers and their employers.</t>
  </si>
  <si>
    <t>Some tools are capable of creating economic or cultural value, including through reproduction of human innovation or creativity (e.g., art, music, writing, code, invention), which can destabilize economic and social systems that rely on human effort. This may lead to reduced appreciation for human skills, disruption of creative and knowledge-based industries, and homogenization of cultural experiences due to the ubiquity of AI-generated content.</t>
  </si>
  <si>
    <t>This happens when AI developers or state-like actors compete in an AI ‘race’ by rapidly developing, deploying, and applying AI systems to maximize strategic or economic advantage, increasing the risk they release unsafe and error-prone systems.</t>
  </si>
  <si>
    <t>This happens when there are inadequate regulatory frameworks and oversight mechanisms failing to keep pace with AI development, leading to ineffective governance and the inability to manage AI risks appropriately.</t>
  </si>
  <si>
    <t>This happens when these tools/AI systems' actions conflict with the intended goals (i.e.g, human-driven/programmed goals or values, especially the goals of designers or users, or ethical standards). These misaligned behaviors may be introduced by humans during design and development (Phase 1), such as through reward hacking and goal misgeneralization. it can also result from AI using dangerous capabilities such as manipulation, deception, situational awareness to seek power, self-proliferate, or achieve other goals.</t>
  </si>
  <si>
    <t>This can happen when these tools/AI systems develop, access, or are provided with capabilities that increase their potential to cause mass harm through deception, weapons development and acquisition, persuasion and manipulation, political strategy, cyber-offense, AI development, situational awareness, and self-proliferation. These capabilities can cause mass harm due to malicious human actors, misaligned AI systems, or failure in the AI system. Some examples are military use tools and dual use capabilities like brain computer interface tools.</t>
  </si>
  <si>
    <t>This happens when the tool/AI system fails to perform reliably or effectively under varying conditions, exposing them to errors and failures that can have significant consequences, especially in critical applications or areas that require moral reasoning (healthcare, legal sector, etc.). This is also probably one of the most common risks of all tools, which is why the 3-Phase approach is so critical.</t>
  </si>
  <si>
    <t>This is probably more rare and not a common consideration as of today (2025). However, there are many who highlight ethical considerations regarding the treatment of potentially sentient AI entities (there is also numerous literature arguing against "sentient AI"). However, the concerns discuss AI systems' potential "rights and welfare", if/when AI systems become more advanced and autonomous.</t>
  </si>
  <si>
    <t xml:space="preserve">Board Structure &amp; Oversight </t>
  </si>
  <si>
    <t>Risk Management</t>
  </si>
  <si>
    <t>Conflict of Interest Protections</t>
  </si>
  <si>
    <t xml:space="preserve">Whistleblower Reporting &amp; Protection </t>
  </si>
  <si>
    <t xml:space="preserve">Safety Decision Frameworks </t>
  </si>
  <si>
    <t xml:space="preserve">Environmental Impact Management </t>
  </si>
  <si>
    <t xml:space="preserve">Societal Impact Assessment </t>
  </si>
  <si>
    <t>Model &amp; Infrastructure Security</t>
  </si>
  <si>
    <t xml:space="preserve">Model Alignment </t>
  </si>
  <si>
    <t xml:space="preserve">Model Safety Engineering </t>
  </si>
  <si>
    <t>Content Safety Controls</t>
  </si>
  <si>
    <t xml:space="preserve">Testing &amp; Auditing </t>
  </si>
  <si>
    <t>Data Governance</t>
  </si>
  <si>
    <t xml:space="preserve">Access Management </t>
  </si>
  <si>
    <t xml:space="preserve">Staged Deployment </t>
  </si>
  <si>
    <t xml:space="preserve">Post-Deployment Monitoring </t>
  </si>
  <si>
    <t xml:space="preserve">Incident Response &amp; Recovery </t>
  </si>
  <si>
    <t>System Documentation</t>
  </si>
  <si>
    <t>Incident Reporting</t>
  </si>
  <si>
    <t>Governance Disclosure</t>
  </si>
  <si>
    <t xml:space="preserve">Third-Party System Access </t>
  </si>
  <si>
    <t>User Rights &amp; Recourse</t>
  </si>
  <si>
    <t>Technical &amp; Security Controls</t>
  </si>
  <si>
    <t>Operational Process Controls</t>
  </si>
  <si>
    <t>Transparency &amp; Accountability Controls</t>
  </si>
  <si>
    <t>Policies and systems that enable confidential reporting of safety concerns or ethical violations to prevent retaliation and encourage disclosure of risks. Examples: Anonymouse reporting channels, non-rtaliation guarantees, limitations on non-disparagement agreements, external whistleblower handling services</t>
  </si>
  <si>
    <t>Prtocols and commitments that constrain decision-making about model development, deployment, and capability scaling, and govern safety-capability resource allocation to prevent unsafe AI advancement. Examples: If-then safety protocols, capability ceilings, deployment pause triggers, safety-capability resource ratios.</t>
  </si>
  <si>
    <t>Processes for measuring, reporting, and reducing the environmental footpring of AI systems to ensure sustainability and responsible resource use. Examples: Carbon footprint assessment, emission offset programs, energy efficiency optimization, resource consumption tracking.</t>
  </si>
  <si>
    <t>Technical methods to ensure AI systems understand and adhere to human values and intentions. Examples: Reinforcement learning from human feedback (RLHF), direct preference optimization (DO), constitutional AI training, value alignment verification systems</t>
  </si>
  <si>
    <t>Operational policies and verification systems that govern who can use AI systems and for what purposes to prevent safety circumvention, deliberate misuse, and deployment in high-risk contexts. Examples: KYC verification requirements, API-only access controls, fine-tuning restrictions, acceptable use policies, high-stakes application prohibitions.</t>
  </si>
  <si>
    <t xml:space="preserve">Protocols and technical systems that resond to security incidents, safety failures, or capability misuse to contain harm and restore safe operations. Examples: Incident response plans, emergency shutdown/rollback procedures, model containment mechanisms, safety drills, critical infrastructure protection measures. </t>
  </si>
  <si>
    <t xml:space="preserve">Risk Disclosure </t>
  </si>
  <si>
    <t>Formal processes and protocols that document and share AI safety incidents, security breaches, near-misses, and relevant threat intelligence with appropriate stakeholders to enable coordinated responses and systemic improvements. Examples: Cyber threat intelligence sharing networks, mandatory breach notification procedures, incident databse contributions, cross-industry safety reportin gmechanisms, standardized near-miss documentation protocols.</t>
  </si>
  <si>
    <t xml:space="preserve">Formal disclosure mechanisms that communicate governance structures, decision framworks, and safety cmmitments to enhance transparency and enable external oversight of high-stakes AI decisions. Examples: Published safety and/or alignment strategies, governance documentation safety cases, model registration protocols, public commitment disclosures. </t>
  </si>
  <si>
    <t>Mechanisms granting controlled system access to vetted external parties to enable independent assessment, validation, and safety research of AI models and capablities. Examples: Research access programs, third-party capability assessments, government access provisions, legal safe harbors for public interest evaluations.</t>
  </si>
  <si>
    <t>Framework and procedures that enable users to identify and understand AI system interactions, report issues, request explanations, and seek recourse of remediation when affectd by AI systems. Examples: User reporting channels, appeal processes, explanation request sstems, remediation protocols, content verification.</t>
  </si>
  <si>
    <t>https://readyresearch.github.io/mitigation-taxonomy-draft/</t>
  </si>
  <si>
    <t>AI Risk Mitigation Taxonomy: Draft</t>
  </si>
  <si>
    <t>N/A: No specific vulnerable populations targeted for this study</t>
  </si>
  <si>
    <t>LLM summarizing pediatric patient notes for clinical trials eligibility</t>
  </si>
  <si>
    <t>Minority Population-Focused Behavioral nudges based on AI-identified patterns in EHR</t>
  </si>
  <si>
    <t>Discrimination &amp; Toxicity, Privacy and Security</t>
  </si>
  <si>
    <t>Discrimination &amp; Toxicity, Privacy and Security, Misinformation</t>
  </si>
  <si>
    <t>Discrimination &amp; Toxicity, Privacy and Security, Misinformation, Malicious Actors &amp;  Misuse, Human-Computer Interaction, Socioeconomic &amp; Environmental Harms, AI System Safety, Failure, and Limitations</t>
  </si>
  <si>
    <t>Discrimination &amp; Toxicity, Privacy and Security, Misinformation, Malicious Actors &amp;  Misuse, Human-Computer Interaction, AI System Safety, Failure, and Limitations</t>
  </si>
  <si>
    <t>Lack of capability or robustness (7.3), Governance failure (6.5), Pollution of information ecosystem and loss of consensus reality (3.2)
45 CFR 46.111(a)(1) &amp; (a)(2), AI system security vulnerabilities and attacks (2.2)
21 CFR 820.100 – Corrective &amp; Preventive Actions (CAPA); 21 CFR 820.30(g) – Design Validation, Compromise of privacy by leaking or correctly inferring sensitive information (2.1)
45 CFR 46.111(a)(7) – confidentiality; 
21 CFR 812.38; 21 CFR 820.30(g)
, Unfair discrimination and misrepresentation (1.1)
45 CFR 46.111(a)(3) – equitable subject selection; 
21 CFR 56.111(a)(3)</t>
  </si>
  <si>
    <t>Lack of capability or robustness (7.3), Governance failure (6.5), Pollution of information ecosystem and loss of consensus reality (3.2)
45 CFR 46.111(a)(1) &amp; (a)(2), AI system security vulnerabilities and attacks (2.2)
21 CFR 820.100 – Corrective &amp; Preventive Actions (CAPA); 21 CFR 820.30(g) – Design Validation, Compromise of privacy by leaking or correctly inferring sensitive information (2.1)
45 CFR 46.111(a)(7) – confidentiality; 
21 CFR 812.38; 21 CFR 820.30(g)
, Unfair discrimination and misrepresentation (1.1)
45 CFR 46.111(a)(3) – equitable subject selection; 
21 CFR 56.111(a)(3), Lack of transparency or interpretability (7.4)
45 CFR 46.116(a)(4) – adequate explanation in consent; 21 CFR 50.20, False or misleading information (3.1)
45 CFR 46.116 – informed consent accuracy; 21 CFR 50.20, Unequal performance across groups (1.3)
45 CFR 46.111(a)(3) &amp; (a)(4), Exposure to toxic content (1.2)
45 CFR 46.111(a)(1) – minimize risks; 46.111(a)(2) – reasonable risk-benefit; 
21 CFR 56.111</t>
  </si>
  <si>
    <t>Unfair discrimination and misrepresentation (1.1)
45 CFR 46.111(a)(3) – equitable subject selection; 
21 CFR 56.111(a)(3), Unequal performance across groups (1.3)
45 CFR 46.111(a)(3) &amp; (a)(4), Compromise of privacy by leaking or correctly inferring sensitive information (2.1)
45 CFR 46.111(a)(7) – confidentiality; 
21 CFR 812.38; 21 CFR 820.30(g)
, AI system security vulnerabilities and attacks (2.2)
21 CFR 820.100 – Corrective &amp; Preventive Actions (CAPA); 21 CFR 820.30(g) – Design Validation, Pollution of information ecosystem and loss of consensus reality (3.2)
45 CFR 46.111(a)(1) &amp; (a)(2), Governance failure (6.5), Lack of capability or robustness (7.3), Lack of transparency or interpretability (7.4)
45 CFR 46.116(a)(4) – adequate explanation in consent; 21 CFR 50.20</t>
  </si>
  <si>
    <t>Unfair discrimination and misrepresentation (1.1)
45 CFR 46.111(a)(3) – equitable subject selection; 
21 CFR 56.111(a)(3), Unequal performance across groups (1.3)
45 CFR 46.111(a)(3) &amp; (a)(4), Compromise of privacy by leaking or correctly inferring sensitive information (2.1)
45 CFR 46.111(a)(7) – confidentiality; 
21 CFR 812.38; 21 CFR 820.30(g)
, AI system security vulnerabilities and attacks (2.2)
21 CFR 820.100 – Corrective &amp; Preventive Actions (CAPA); 21 CFR 820.30(g) – Design Validation, Pollution of information ecosystem and loss of consensus reality (3.2)
45 CFR 46.111(a)(1) &amp; (a)(2), Governance failure (6.5), Lack of capability or robustness (7.3), Lack of transparency or interpretability (7.4)
45 CFR 46.116(a)(4) – adequate explanation in consent; 21 CFR 50.20, False or misleading information (3.1)
45 CFR 46.116 – informed consent accuracy; 21 CFR 50.20</t>
  </si>
  <si>
    <t>Unfair discrimination and misrepresentation (1.1)
45 CFR 46.111(a)(3) – equitable subject selection; 
21 CFR 56.111(a)(3), Unequal performance across groups (1.3)
45 CFR 46.111(a)(3) &amp; (a)(4), Compromise of privacy by leaking or correctly inferring sensitive information (2.1)
45 CFR 46.111(a)(7) – confidentiality; 
21 CFR 812.38; 21 CFR 820.30(g)
, AI system security vulnerabilities and attacks (2.2)
21 CFR 820.100 – Corrective &amp; Preventive Actions (CAPA); 21 CFR 820.30(g) – Design Validation, False or misleading information (3.1)
45 CFR 46.116 – informed consent accuracy; 21 CFR 50.20, Pollution of information ecosystem and loss of consensus reality (3.2)
45 CFR 46.111(a)(1) &amp; (a)(2), Governance failure (6.5), Lack of capability or robustness (7.3), Lack of transparency or interpretability (7.4)
45 CFR 46.116(a)(4) – adequate explanation in consent; 21 CFR 50.20</t>
  </si>
  <si>
    <t>For IRBs: Independent oversight is required for human subjects protections. 
Governance structures and leadership roles that establish executive accountability for AI safety and risk management. Examples: Dedicated risk committees, safety teams, ethics boards, crisis simulation training, multi-party authorization protocols, deloyment veto powers</t>
  </si>
  <si>
    <t>For IRBs: This applies to avoiding bias in research conduct. 
Governance mechanisms that manage financial interests and organizational structures to ensure leadership can prioritize safety over profit motives in critical situations. Examples: Background checks for key personnel, windfall profit redistribution plans, stake limitation policies, protections against shareholder pressure.</t>
  </si>
  <si>
    <t>For IRBs: Safeguards prevent harm from toxic/triggering content (generative AI tools).
Technical systems and processes that detect, filter, and label AI-generated content to identify misuse and enable contnt provenance tracking. Examples; Synthetic media watermarking, contnt filtering mechanisms, prohibited content detection, metadata tagging protocols, deepfake creation restrictions.</t>
  </si>
  <si>
    <t>For IRBs: Verifying AI performance is equivalent to device validation. 
Systematic internal and external evaluations that assess AI systems, infrastructure, and compliance processes to identify risks, verify safety, and ensure performance meets standards. Examples: Third-party audits, red teaming, penetration testing, dangerous capability evaluations, bug bounty programs.</t>
  </si>
  <si>
    <t>For IRBs: Secure handling of data per IRB oversight. 
Policies and procedures that govern responsible data acquisition, curation, and usage to ensure compliance, quality, user privacy, and removal of harmful content. Examples: Harmful content filtering protocols, compliance checks for data collection standards, user data privacy controls, data curation processes.</t>
  </si>
  <si>
    <t>For IRBs: Ongoing safty surveillance should match post-market monitoring.
Ongoing monitoring processes that track AI behavior, user interactions, and societal impacts post-deployment to detect misuse, emergent dangerous capabilities, and harmful effects. Examples: User interaction tracking systems, capabilty evolution assessments, periodic impact reports, automated misuse detection, usage pattern analysis tools.</t>
  </si>
  <si>
    <t>For IRBs: All known risks must be disclosed to participants. 
Formal reorting protocols and notification systems that communicate risk information, mitigation plans, safety evaluations, and significant AI activities to enable external oversight nd inform stakeholders. Examples: Publishing risk assessment summaries, pre-deployment notifications to government, reporting large training runs, disclosing mitigation strategies, notifying affected parties.</t>
  </si>
  <si>
    <t>For IRBs: Multi-agent AI interactions could create new systemic risks IRBs must account for. 
A bit more nuanced. An "agent" is the software or "robot" that can act on its own to achieve a goal. But when we have a multi-agent system, that means we have many agents that can either be working together, interacting but doing different things, or working across different organizations in a shared space. When these multi-agents work together, we see risks of conflicting goals, collusion where agents team up in ways that harm fairness; chain reaction (that cascading failure example where one small problem ripples into the whole system); selection pressure where certain agents attempt to survive and become more aggressive or less "ethical". There are security holes where one AI may try to trick the other into revealing private data, for example; and lack of trust and missing information (when agents don't share accurate information).</t>
  </si>
  <si>
    <t>For IRBs: Without transparency, participants can't truly give informed consent.
When there are challenges in understanding or explaining the decision-making processes of AI systems, this can lead to mistrust, difficulty in enforcing compliance standards or holding relevant actors accountable for harms, and the inability to identify and correct errors. One simple example (there are more complicated ones) is prompts for LLMs. When LLMs can be easily manipulated and it is not transparent what is being prompted, there can be manipulated output that fits a certain agenda while not meeting another, such as legal requirements).</t>
  </si>
  <si>
    <t>For IRBs: While rare in the IRB world and not common in human-subjects resarch, some studies require IRB review if environmental harm indirectly affects participants.
This harm is rarelydiscussed in the research context. This happens when the development and operation of AI systems causes environmental harm, such as through energy consumption of data centers, or material and carbon footprints associated with AI hardware.</t>
  </si>
  <si>
    <t>For IRBs: Research must avoid exploitation of certain populations (Principle of Justice under the Belmont Report).
AI-driven concentration of power and resources within certain entities or groups, especially those with access to or ownership of powerful AI systems, can lead to inequitable distribution of benefits and increased societal inequality.</t>
  </si>
  <si>
    <t>For IRBs: AI that undermines autonomy violates voluntary participation principles.
When humans delegate decisions to these tools, or when these tools make decisions that diminish human control and autonomy, it can potentially lead to humans feeling disempowered, losing the ability to shape a fulfilling life trajectory or becoming cognitively enfeebled.</t>
  </si>
  <si>
    <t>For IRBs: Sponsors must ensure device/AI isn't used outside safe bounds.
This happens when users anthropomorphize the tool (trusting, or relying on it; leading to emotional or material dependence and inappropriate relationships with or expectations of these tools). Trust can be exploited by malicious actors (e.g., to harvest personal information or enable manipulation), or result in harm from inappropriate use of AI in critical situations (e.g., medical emergency). Overreliance on AI systems can compromise autonomy and weaken social ties.</t>
  </si>
  <si>
    <t>For IRBs: Preventing manipulation ensures voluntariness of partcipation.
People can use these tools/AI systems to gain a personal advantage over others such as through cheating, fraud, scams, blackmail or targeted manipulation of beliefs or behavior. Example: AI-facilitated plagiarism for research or education, impersonating a trusted or fake individual for illegitimate financial benefit, or creating humiliating or sexual imagery.</t>
  </si>
  <si>
    <t>For IRBs: Mass influence can create undue influence. IRBs must guard against coercion. 
Using these tools to conduct large-scale disinformation campaigns, malicious surveillance, or targeted and sophisticated automated censorship and propaganda, with the aim to manipulate political processes, public opinion or behavior.</t>
  </si>
  <si>
    <t>For IRBs: Bad data harms societal knowledge base. This is analogous to data integrity in trials. 
Personalized AI-generated misinformation can create “filter bubbles” where individuals only see what matches their existing beliefs, undermining shared reality, weakening social cohesion and political processes.</t>
  </si>
  <si>
    <t>For IRBs: Preventing misinformation ensures consent is truly informed.
AI systems/tools that inadvertently generate or spread incorrect or deceptive information, which can lead to inaccurate beliefs in users and undermine their autonomy. Humans that make decisions based on false beliefs can experience physical, emotional or material harms</t>
  </si>
  <si>
    <t>For IRBs: Device sponsors must prevent cybersecurity vulnerabilities.
Vulnerabilities in these tools/AI systems, software development toolchains, and hardware can be exploited, resulting in unauthorized access, data and privacy breaches, or system manipulation causing unsafe outputs or behavior.</t>
  </si>
  <si>
    <t>For IRBs: AI models must protect identifiable private information per privacy/confidentiality provisions under 45 CFR 46.
Tools/AI systems that memorize and leak sensitive personal data or infer private information about individuals without their consent. Unexpected or unauthorized sharing of data and information can compromise user expectation of privacy, assist identity theft, or result in a loss of confidential intellectual property.</t>
  </si>
  <si>
    <t>For IRBs: IRBs ensure research design provides equal benefit and avoids undue burden on sub-populations.
Accuracy and effectiveness of the tool's output (decisions and actions) is dependent on group membership, where decisions in AI system design and biased training data lead to unequal outcomes, reduced benefits, increased effort, and alienation of users.</t>
  </si>
  <si>
    <t>For IRBs: Toxic content results in pschological harms. This must be minimized via consent disclosures and safeguards.
AI/tool exposes users to harmful, abusive, unsafe or inappropriate content. May involve creating, describing, providing advice, or encouraging action. Examples of toxic content include hate-speech, violence, extremism, illegal acts, child sexual abuse material, self-harm, as well as content that violates community norms such as profanity, inflammatory political speech, or pornography.</t>
  </si>
  <si>
    <t>For IRBs: IRBs must ensure selection is fair and not discriminatory. THis also applies to ensurin AI output does not bias inclusion/exclusion criteria (based on who the target population of deployment is). 
Unequal treatment of individuals or groups by the AI/tool, often based on race, gender, or other sensitive characteristics, resulting in unfair outcomes and representation of those groups.</t>
  </si>
  <si>
    <t>Unsupervised Machine Learning, Classification Models</t>
  </si>
  <si>
    <t>Predictive Models, Supervised Machine Learning, Recommendation Systems, Generative Models (non-LLM)</t>
  </si>
  <si>
    <t>Unsupervised clustering to identify mental health risk profiles in older adults</t>
  </si>
  <si>
    <t>Cognitively Impaired, Older Adults</t>
  </si>
  <si>
    <t>Example Reviewer Prompt</t>
  </si>
  <si>
    <t>CFR</t>
  </si>
  <si>
    <t>21 CFR 812.62 (IRB approval); 21 CFR 812.64 (continuing review); 21 CFR 812.66 (SR determinations)</t>
  </si>
  <si>
    <t>21 CFR 812.140 (Records &amp; Reports)</t>
  </si>
  <si>
    <t>21 CFR 812.40 (Responsibilities of Sponsors)</t>
  </si>
  <si>
    <t>21 CFR 812 (Investigational Devices)</t>
  </si>
  <si>
    <t>21 CFR Part 11 (Electronic Records &amp; Signatures)</t>
  </si>
  <si>
    <t>45 CFR 46 subpart D (Children)</t>
  </si>
  <si>
    <t>45 CFR 46 subpart C (Prisoners)</t>
  </si>
  <si>
    <t>45 CFR 46 subpart B (Pregnant persons and fetus)</t>
  </si>
  <si>
    <t>45 CFR 164.512(b) (Permitted Use annd Disclosure of PHI)</t>
  </si>
  <si>
    <t>45 CFR 164.501 (PHI)</t>
  </si>
  <si>
    <t>45 CFR 160 (Data Standards)</t>
  </si>
  <si>
    <t>45 CFR 46.104 (Exempt Research)</t>
  </si>
  <si>
    <t>45 CFR 46.117© (Consent Waivers)</t>
  </si>
  <si>
    <t>45 CFR 46.117(b) (Sufficient time to review consent, Short Form options, and LAR requirements)</t>
  </si>
  <si>
    <t>45 CFR 46.117(a) (Informed Consent and Electronic Informed Consent)</t>
  </si>
  <si>
    <t>45 CFR 46.116(h) (Posting of clinical trial consent form)</t>
  </si>
  <si>
    <t>45 CFR 46.116(g) (Screening, Recruiting, and Eligibility determinations)</t>
  </si>
  <si>
    <t>45 CFR 46.116(f) (General waiver or alteration of consent)</t>
  </si>
  <si>
    <t>45 CFR 46.116(e) (Waiver or alteration of consent in public benefit programs)</t>
  </si>
  <si>
    <t>45 CFR 46.116(d) (Broad Consent Elements)</t>
  </si>
  <si>
    <t>45 CFR 46.116(c) (Additional Required Elements)</t>
  </si>
  <si>
    <t>45 CFR 46.116(b) (Basic required elements of informed consent)</t>
  </si>
  <si>
    <t>45 CFR 46.116(a) (General informed consent requirements)</t>
  </si>
  <si>
    <t>45 CFR 46.111(b) (Additional protections for vulnerable groups)</t>
  </si>
  <si>
    <t>45 CFR 46.111.8(i)(ii)(iii) (Limited IRB Review requirements and Broad Consent)</t>
  </si>
  <si>
    <t>45 CFR 46.111.7(i) (Privacy &amp; Confidentiality)</t>
  </si>
  <si>
    <t>45 CFR 46.111.6 (Data Monitoring to ensure safety)</t>
  </si>
  <si>
    <t>45 CFR 46.111.5 (Informed consent or meeting waiver criteria)</t>
  </si>
  <si>
    <t>45 CFR 46.111.4 (Informed consent)</t>
  </si>
  <si>
    <t>45 CFR 46.111.3 (Equitable Selection)</t>
  </si>
  <si>
    <t>45 CFR 46.111.2 (Risks reasonable in relation to anticipated benefits)</t>
  </si>
  <si>
    <t>45 CFR 46.111.1(i)(ii) (Minimize risks through sound research design and proper procedures already being performed for diagnostic/treatment purposes)</t>
  </si>
  <si>
    <t>Relevant CFR</t>
  </si>
  <si>
    <t>21 CFR 820.30 (Design Controls)</t>
  </si>
  <si>
    <t>45 CFR 46 (IRB Oversight)</t>
  </si>
  <si>
    <t>21 CFR 56 (IRB Oversight)</t>
  </si>
  <si>
    <t>45 CFR 46.111.2 (Risks reasonable in relation to anticipated benefits), 45 CFR 46.111.1(i)(ii) (Minimize risks through sound research design and proper procedures already being performed for diagnostic/treatment purposes), 45 CFR 46.111.3 (Equitable Selection), 45 CFR 46.111(b) (Additional protections for vulnerable groups), 21 CFR 812.40 (Responsibilities of Sponsors), 21 CFR 820.30 (Design Controls), 21 CFR 56 (IRB Oversight), 45 CFR 46 (IRB Oversight)</t>
  </si>
  <si>
    <t>45 CFR 46.111.1(i)(ii) (Minimize risks through sound research design and proper procedures already being performed for diagnostic/treatment purposes), 45 CFR 46.111.2 (Risks reasonable in relation to anticipated benefits), 45 CFR 46.111.4 (Informed consent), 45 CFR 46.111.6 (Data Monitoring to ensure safety), 45 CFR 46.111.7(i) (Privacy &amp; Confidentiality), 21 CFR 812.40 (Responsibilities of Sponsors), 21 CFR 820.30 (Design Controls), 21 CFR 56 (IRB Oversight), 45 CFR 46 (IRB Oversight)</t>
  </si>
  <si>
    <t>45 CFR 46.111.1(i)(ii) (Minimize risks through sound research design and proper procedures already being performed for diagnostic/treatment purposes), 45 CFR 46.111.2 (Risks reasonable in relation to anticipated benefits), 45 CFR 46.111.3 (Equitable Selection), 45 CFR 46.111.6 (Data Monitoring to ensure safety), 45 CFR 46.111(b) (Additional protections for vulnerable groups), 21 CFR 812.40 (Responsibilities of Sponsors),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</si>
  <si>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46.111.4 (Informed consent), 45 CFR 46.111.5 (Informed consent or meeting waiver criteria), 45 CFR 46.111.6 (Data Monitoring to ensure safety), 45 CFR 46.111.7(i) (Privacy &amp; Confidentiality), 45 CFR 46.111.8(i)(ii)(iii) (Limited IRB Review requirements and Broad Consent), 45 CFR 46.116(a) (General informed consent requirements), 45 CFR 46.116(b) (Basic required elements of informed consent), 45 CFR 46.116(c) (Additional Required Elements), 45 CFR 46.116(d) (Broad Consent Elements), 45 CFR 46.116(e) (Waiver or alteration of consent in public benefit programs), 45 CFR 46.116(f) (General waiver or alteration of consent), 45 CFR 46.117(a) (Informed Consent and Electronic Informed Consent), 45 CFR 46.117© (Consent Waivers), 45 CFR 160 (Data Standards), 45 CFR 164.501 (PHI), 45 CFR 164.512(b) (Permitted Use annd Disclosure of PHI), 21 CFR Part 11 (Electronic Records &amp; Signatures), 21 CFR 812.40 (Responsibilities of Sponsors), 21 CFR 820.30 (Design Controls), 21 CFR 56 (IRB Oversight), 45 CFR 46 (IRB Oversight)</t>
  </si>
  <si>
    <t>21 CFR 812.40 (Responsibilities of Sponsors), 21 CFR 812.140 (Records &amp; Reports), 21 CFR Part 11 (Electronic Records &amp; Signatures), 45 CFR 160 (Data Standards), 45 CFR 46.111.7(i) (Privacy &amp; Confidentiality), 45 CFR 46.111.6 (Data Monitoring to ensure safety),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</si>
  <si>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46.111.4 (Informed consent), 45 CFR 46.111.5 (Informed consent or meeting waiver criteria), 45 CFR 46.111.6 (Data Monitoring to ensure safety), 45 CFR 46.111.7(i) (Privacy &amp; Confidentiality), 45 CFR 46.111.8(i)(ii)(iii) (Limited IRB Review requirements and Broad Consent), 45 CFR 46.116(a) (General informed consent requirements), 45 CFR 46.116(b) (Basic required elements of informed consent), 45 CFR 46.116(c) (Additional Required Elements), 45 CFR 46.116(d) (Broad Consent Elements), 45 CFR 46.116(e) (Waiver or alteration of consent in public benefit programs), 45 CFR 46.116(f) (General waiver or alteration of consent), 45 CFR 46.117(a) (Informed Consent and Electronic Informed Consent), 45 CFR 46.117© (Consent Waivers), 45 CFR 160 (Data Standards), 45 CFR 164.501 (PHI), 45 CFR 164.512(b) (Permitted Use annd Disclosure of PHI), 21 CFR Part 11 (Electronic Records &amp; Signatures), 21 CFR 812.40 (Responsibilities of Sponsors),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</si>
  <si>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46.111.3 (Equitable Selection), 45 CFR 46.111.6 (Data Monitoring to ensure safety), 21 CFR Part 11 (Electronic Records &amp; Signatures), 21 CFR 812.40 (Responsibilities of Sponsors),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</si>
  <si>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46.111.3 (Equitable Selection), 45 CFR 46.111.6 (Data Monitoring to ensure safety), 45 CFR 46.111(b) (Additional protections for vulnerable groups), 45 CFR 46.111.4 (Informed consent), 45 CFR 46.116(b) (Basic required elements of informed consent), 45 CFR 46.116(c) (Additional Required Elements), 45 CFR 46.116(d) (Broad Consent Elements), 45 CFR 46.117(a) (Informed Consent and Electronic Informed Consent), 45 CFR 46.117(b) (Sufficient time to review consent, Short Form options, and LAR requirements), 21 CFR 812.40 (Responsibilities of Sponsors), 45 CFR 160 (Data Standards), 21 CFR 820.30 (Design Controls), 45 CFR 46 (IRB Oversight), 21 CFR 56 (IRB Oversight)</t>
  </si>
  <si>
    <t>21 CFR 812.40 (Responsibilities of Sponsors), 21 CFR 812.140 (Records &amp; Reports), 21 CFR Part 11 (Electronic Records &amp; Signatures), 45 CFR 160 (Data Standards), 45 CFR 46.111.7(i) (Privacy &amp; Confidentiality), 45 CFR 46.111.6 (Data Monitoring to ensure safety), 45 CFR 46.111.1(i)(ii) (Minimize risks through sound research design and proper procedures already being performed for diagnostic/treatment purposes), 45 CFR 46.111.2 (Risks reasonable in relation to anticipated benefits),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</si>
  <si>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46.111.6 (Data Monitoring to ensure safety), 45 CFR 46.116(a) (General informed consent requirements), 45 CFR 46.116(b) (Basic required elements of informed consent), 45 CFR 46.117(b) (Sufficient time to review consent, Short Form options, and LAR requirements), 45 CFR 160 (Data Standards), 21 CFR Part 11 (Electronic Records &amp; Signatures), 45 CFR 164.512(b) (Permitted Use annd Disclosure of PHI), 21 CFR 812.40 (Responsibilities of Sponsors), 21 CFR 812.140 (Records &amp; Reports),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</si>
  <si>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46.111.3 (Equitable Selection), 45 CFR 46.111.6 (Data Monitoring to ensure safety), 21 CFR 812.40 (Responsibilities of Sponsors), 21 CFR 812.140 (Records &amp; Reports),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</si>
  <si>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46.111.6 (Data Monitoring to ensure safety), 21 CFR 812.40 (Responsibilities of Sponsors), 21 CFR Part 11 (Electronic Records &amp; Signatures), 45 CFR 164.512(b) (Permitted Use annd Disclosure of PHI),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</si>
  <si>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46.111.6 (Data Monitoring to ensure safety), 21 CFR 812.40 (Responsibilities of Sponsors), 21 CFR 820.30 (Design Controls), 45 CFR 46 (IRB Oversight), 21 CFR 56 (IRB Oversight)</t>
  </si>
  <si>
    <t>45 CFR 46.111.1(i)(ii) (Minimize risks through sound research design and proper procedures already being performed for diagnostic/treatment purposes), 45 CFR 46.111.2 (Risks reasonable in relation to anticipated benefits), 45 CFR 46.111.3 (Equitable Selection), 45 CFR 46.111.6 (Data Monitoring to ensure safety), 21 CFR 812.40 (Responsibilities of Sponsors), 21 CFR 820.30 (Design Controls), 45 CFR 46 (IRB Oversight), 21 CFR 56 (IRB Oversight)</t>
  </si>
  <si>
    <t>Board Structure &amp; Oversight (1.1)
, Risk Management (1.2): e.g., pre-deployment risk assessments, independent risk assessment, Model Safety Engineering (2.3), Testing &amp; Auditing (3.1), Data Governance (3.2), Model Alignment (2.2)</t>
  </si>
  <si>
    <t>Board Structure &amp; Oversight (1.1)
, Risk Management (1.2): e.g., pre-deployment risk assessments, independent risk assessment, Model Safety Engineering (2.3), Testing &amp; Auditing (3.1), Data Governance (3.2), Model Alignment (2.2), Content Safety Controls (2.4), Access Management (3.3), System Documentation (4.1), Risk Diclosure (4.2), Third-Party System Access (4.5), User Rights &amp; Recourse (4.6)</t>
  </si>
  <si>
    <t xml:space="preserve">Board Structure &amp; Oversight (1.1)
, Risk Management (1.2): e.g., pre-deployment risk assessments, independent risk assessment, Model Safety Engineering (2.3), Testing &amp; Auditing (3.1), Data Governance (3.2), Model Alignment (2.2), Conflict of Interest Protections (1.3)
</t>
  </si>
  <si>
    <t>Board Structure &amp; Oversight (1.1)
, Risk Management (1.2): e.g., pre-deployment risk assessments, independent risk assessment, Conflict of Interest Protections (1.3)
, Model &amp; Infrastructure Security (2.1), Model Alignment (2.2), Model Safety Engineering (2.3), Content Safety Controls (2.4), Testing &amp; Auditing (3.1), Data Governance (3.2), Access Management (3.3), Staged Deployment (3.4), Post-Deployment Monitoring (3.5), Incident Response &amp; Recovery (3.6), System Documentation (4.1), Incident Reporting (4.3), Governance Disclosure (4.4), Third-Party System Access (4.5)</t>
  </si>
  <si>
    <t>Board Structure &amp; Oversight (1.1)
, Risk Management (1.2): e.g., pre-deployment risk assessments, independent risk assessment, Conflict of Interest Protections (1.3)
, Whistleblower Reporting &amp; Protection (1.4), Safety Decision Frameworks (1.5), Model &amp; Infrastructure Security (2.1), Model Alignment (2.2), Model Safety Engineering (2.3), Content Safety Controls (2.4), Testing &amp; Auditing (3.1), Data Governance (3.2), Access Management (3.3), Staged Deployment (3.4), Post-Deployment Monitoring (3.5), Governance Disclosure (4.4), User Rights &amp; Recourse (4.6)</t>
  </si>
  <si>
    <t>Board Structure &amp; Oversight (1.1)
, Risk Management (1.2): e.g., pre-deployment risk assessments, independent risk assessment, Model Safety Engineering (2.3), Testing &amp; Auditing (3.1), Data Governance (3.2), Model Alignment (2.2), Content Safety Controls (2.4), Access Management (3.3), System Documentation (4.1), Risk Diclosure (4.2), Third-Party System Access (4.5), User Rights &amp; Recourse (4.6), Incident Reporting (4.3)</t>
  </si>
  <si>
    <t>System Documentation (4.1), Societal Impact Assessment (1.7), Environmental Impact Management (1.6)</t>
  </si>
  <si>
    <t>Board Structure &amp; Oversight (1.1)
, Risk Management (1.2): e.g., pre-deployment risk assessments, independent risk assessment, Whistleblower Reporting &amp; Protection (1.4), Conflict of Interest Protections (1.3)
, Governance Disclosure (4.4), Third-Party System Access (4.5), System Documentation (4.1), Incident Response &amp; Recovery (3.6)</t>
  </si>
  <si>
    <t>Board Structure &amp; Oversight (1.1)
, Risk Management (1.2): e.g., pre-deployment risk assessments, independent risk assessment, Conflict of Interest Protections (1.3)
, Model &amp; Infrastructure Security (2.1), Model Alignment (2.2), Model Safety Engineering (2.3), Content Safety Controls (2.4), Testing &amp; Auditing (3.1), Data Governance (3.2), Access Management (3.3), Staged Deployment (3.4), Post-Deployment Monitoring (3.5), Incident Response &amp; Recovery (3.6), System Documentation (4.1), Incident Reporting (4.3), Governance Disclosure (4.4), Third-Party System Access (4.5), Societal Impact Assessment (1.7)</t>
  </si>
  <si>
    <t>Board Structure &amp; Oversight (1.1)
, Risk Management (1.2): e.g., pre-deployment risk assessments, independent risk assessment, Model Safety Engineering (2.3), Testing &amp; Auditing (3.1), Data Governance (3.2), Model Alignment (2.2), Content Safety Controls (2.4), Access Management (3.3), System Documentation (4.1), Risk Diclosure (4.2), Third-Party System Access (4.5), User Rights &amp; Recourse (4.6), Conflict of Interest Protections (1.3)
, Safety Decision Frameworks (1.5)</t>
  </si>
  <si>
    <t>Board Structure &amp; Oversight (1.1)
, Risk Management (1.2): e.g., pre-deployment risk assessments, independent risk assessment, Model Safety Engineering (2.3), Testing &amp; Auditing (3.1), Data Governance (3.2), Model Alignment (2.2), Content Safety Controls (2.4), Access Management (3.3), System Documentation (4.1), Risk Diclosure (4.2), Third-Party System Access (4.5), User Rights &amp; Recourse (4.6), Whistleblower Reporting &amp; Protection (1.4)</t>
  </si>
  <si>
    <t xml:space="preserve">Board Structure &amp; Oversight (1.1)
, Risk Management (1.2): e.g., pre-deployment risk assessments, independent risk assessment, Model Safety Engineering (2.3), Testing &amp; Auditing (3.1), Data Governance (3.2), Model Alignment (2.2), System Documentation (4.1), Post-Deployment Monitoring (3.5), Conflict of Interest Protections (1.3)
</t>
  </si>
  <si>
    <t>Phase Based Mitigation Strategy</t>
  </si>
  <si>
    <t>NOT RELEVANT or UNKNOWN</t>
  </si>
  <si>
    <t>Integrating clinical notes, x-ray images, and patient speech (diagnostic tools combining EHR Notes, imaging, and voice), analyzing facial expressions, voice tone, and text messages; generating captions for educational videos combining speech and images</t>
  </si>
  <si>
    <t>Data minmization, secure data/recording storage/mnagement; Feasibility, Initial risk &amp; bias assessment; Proof of concept. If interactional, limit to user feedback for general risk/benefit analysis</t>
  </si>
  <si>
    <t>Red Teaming</t>
  </si>
  <si>
    <r>
      <t xml:space="preserve">Processes that assess AI systems' effects on society, including impacts on employment, power dynamics, policital processes, and cultural values. Examples: Fundamental rights impact assessments, expert consultations on risk domains, stakeholder engagement processes, governance gap analysis.
</t>
    </r>
    <r>
      <rPr>
        <b/>
        <sz val="16"/>
        <color theme="1"/>
        <rFont val="Arial"/>
        <family val="2"/>
      </rPr>
      <t xml:space="preserve">Phase 1: </t>
    </r>
    <r>
      <rPr>
        <sz val="16"/>
        <color theme="1"/>
        <rFont val="Arial"/>
        <family val="2"/>
      </rPr>
      <t xml:space="preserve">If publishing model performance results, it will be done transparently (proper data use agreements are consistent).
</t>
    </r>
    <r>
      <rPr>
        <b/>
        <sz val="16"/>
        <color theme="1"/>
        <rFont val="Arial"/>
        <family val="2"/>
      </rPr>
      <t xml:space="preserve">Phase 2: </t>
    </r>
    <r>
      <rPr>
        <sz val="16"/>
        <color theme="1"/>
        <rFont val="Arial"/>
        <family val="2"/>
      </rPr>
      <t xml:space="preserve">Possibly the same as Phase 3.
</t>
    </r>
    <r>
      <rPr>
        <b/>
        <sz val="16"/>
        <color theme="1"/>
        <rFont val="Arial"/>
        <family val="2"/>
      </rPr>
      <t>Phase 3:</t>
    </r>
    <r>
      <rPr>
        <sz val="16"/>
        <color theme="1"/>
        <rFont val="Arial"/>
        <family val="2"/>
      </rPr>
      <t xml:space="preserve"> The benefits and harms to underrepresented groups will be evaluated and shared with the IRB and community partners.</t>
    </r>
  </si>
  <si>
    <r>
      <t xml:space="preserve">For IRBs subject to 21 CFR: Device software must be secure from tampering.
Technical and physical safeguards that secure AI models, weights, and infrastructure to prevent unauthorized access, theft, tampering, and espionage. Examples: Model weight tracking sstems, multi-factor authentication protocols, physical access controls, background security checks, compliance with information security standards.
</t>
    </r>
    <r>
      <rPr>
        <b/>
        <sz val="16"/>
        <color theme="1"/>
        <rFont val="Arial"/>
        <family val="2"/>
      </rPr>
      <t xml:space="preserve">Phase 1: </t>
    </r>
    <r>
      <rPr>
        <sz val="16"/>
        <color theme="1"/>
        <rFont val="Arial"/>
        <family val="2"/>
      </rPr>
      <t xml:space="preserve">All training data should be de-identified per HIPAA Safe Harbor and stored on secure, access-controlled servers.
</t>
    </r>
    <r>
      <rPr>
        <b/>
        <sz val="16"/>
        <color theme="1"/>
        <rFont val="Arial"/>
        <family val="2"/>
      </rPr>
      <t>Phase 2:</t>
    </r>
    <r>
      <rPr>
        <sz val="16"/>
        <color theme="1"/>
        <rFont val="Arial"/>
        <family val="2"/>
      </rPr>
      <t xml:space="preserve"> Data ingestion pipelines will be monitored for inadvertent re-identification risk. Testing for membership inference vulnerabilities is recommended.
</t>
    </r>
    <r>
      <rPr>
        <b/>
        <sz val="16"/>
        <color theme="1"/>
        <rFont val="Arial"/>
        <family val="2"/>
      </rPr>
      <t xml:space="preserve">Phase 3: </t>
    </r>
    <r>
      <rPr>
        <sz val="16"/>
        <color theme="1"/>
        <rFont val="Arial"/>
        <family val="2"/>
      </rPr>
      <t>Live system logs will be reviewed weekly to detect possible inference or leakage events. Participants may opt-out of data reuse.</t>
    </r>
  </si>
  <si>
    <r>
      <t xml:space="preserve">Technical methods and safeguards that constrain model behaviors and potect against exploitation and vulnerabilities. Examles: Safety analysis protocols, capability restriction mechanisms, hazardous kno9wledge unlearning techniques, input/output filtering systems, defense-in-depth implementations, adversarial robustness training, hierarchical auditing, action replacement.
</t>
    </r>
    <r>
      <rPr>
        <b/>
        <sz val="16"/>
        <color theme="1"/>
        <rFont val="Arial"/>
        <family val="2"/>
      </rPr>
      <t xml:space="preserve">Phase 1: </t>
    </r>
    <r>
      <rPr>
        <sz val="16"/>
        <color theme="1"/>
        <rFont val="Arial"/>
        <family val="2"/>
      </rPr>
      <t xml:space="preserve">Outputs will not be shared outside the dev team (and it will not be entered into medical records/records); accuracy benchmarks will be reviewed against clinical standards.
</t>
    </r>
    <r>
      <rPr>
        <b/>
        <sz val="16"/>
        <color theme="1"/>
        <rFont val="Arial"/>
        <family val="2"/>
      </rPr>
      <t xml:space="preserve">Phase 2: </t>
    </r>
    <r>
      <rPr>
        <sz val="16"/>
        <color theme="1"/>
        <rFont val="Arial"/>
        <family val="2"/>
      </rPr>
      <t xml:space="preserve">Conduct a double-review with clinicians to verify model recommendations before integrating into a more formal clinical trial/clinical investigation workflows.
</t>
    </r>
    <r>
      <rPr>
        <b/>
        <sz val="16"/>
        <color theme="1"/>
        <rFont val="Arial"/>
        <family val="2"/>
      </rPr>
      <t xml:space="preserve">Phase 3: </t>
    </r>
    <r>
      <rPr>
        <sz val="16"/>
        <color theme="1"/>
        <rFont val="Arial"/>
        <family val="2"/>
      </rPr>
      <t>Outputs will be labeled as AI-generated and require clinician confirmation before acting. Study team should  track override rates.</t>
    </r>
  </si>
  <si>
    <r>
      <t xml:space="preserve">Implementation protocols that deloy AI systems in stages, requiring safety validation before expanding user access or capabilities. Examples: Limited API access programs, gradual user base expansion, capability threshold assessments, pre-deployment validation checkpoints, treating model updates as new deployments.
</t>
    </r>
    <r>
      <rPr>
        <b/>
        <sz val="16"/>
        <color theme="1"/>
        <rFont val="Arial"/>
        <family val="2"/>
      </rPr>
      <t xml:space="preserve">Phase 1: </t>
    </r>
    <r>
      <rPr>
        <sz val="16"/>
        <color theme="1"/>
        <rFont val="Arial"/>
        <family val="2"/>
      </rPr>
      <t xml:space="preserve">Maybe not relevant? 
</t>
    </r>
    <r>
      <rPr>
        <b/>
        <sz val="16"/>
        <color theme="1"/>
        <rFont val="Arial"/>
        <family val="2"/>
      </rPr>
      <t xml:space="preserve">Phase 2: </t>
    </r>
    <r>
      <rPr>
        <sz val="16"/>
        <color theme="1"/>
        <rFont val="Arial"/>
        <family val="2"/>
      </rPr>
      <t xml:space="preserve">Participants will receive an orientation/education/training that highlights the AI system's limitations. Users are advised to override AI recommendations if appropriate.
</t>
    </r>
    <r>
      <rPr>
        <b/>
        <sz val="16"/>
        <color theme="1"/>
        <rFont val="Arial"/>
        <family val="2"/>
      </rPr>
      <t xml:space="preserve">Phase 3: </t>
    </r>
    <r>
      <rPr>
        <sz val="16"/>
        <color theme="1"/>
        <rFont val="Arial"/>
        <family val="2"/>
      </rPr>
      <t>System use will be staged across 3 clinics. Users may provide feedback via an integrated incident reporting form.</t>
    </r>
  </si>
  <si>
    <r>
      <t xml:space="preserve">For IRBs: Detailed documentation is a regulatory requirement.
Comprehensive documentation protcols that record technical specifications, intended uses, capabilities, and limitations of AI systems to enable informed evaluation of governance. Examples: Model cards, system architecture documentation, comput resource disclosures, safety test result reports, system prompt, model specifications. 
</t>
    </r>
    <r>
      <rPr>
        <b/>
        <sz val="16"/>
        <color theme="1"/>
        <rFont val="Arial"/>
        <family val="2"/>
      </rPr>
      <t xml:space="preserve">Phase-Based Mitigation strategies:
Phase 1 (clinical/real-world association of model and data): </t>
    </r>
    <r>
      <rPr>
        <sz val="16"/>
        <color theme="1"/>
        <rFont val="Arial"/>
        <family val="2"/>
      </rPr>
      <t xml:space="preserve">All models include a feature importance map; design documents will include rationale for each parameter.”
</t>
    </r>
    <r>
      <rPr>
        <b/>
        <sz val="16"/>
        <color theme="1"/>
        <rFont val="Arial"/>
        <family val="2"/>
      </rPr>
      <t xml:space="preserve">Phase 2: </t>
    </r>
    <r>
      <rPr>
        <sz val="16"/>
        <color theme="1"/>
        <rFont val="Arial"/>
        <family val="2"/>
      </rPr>
      <t xml:space="preserve">Model explanations will be shared with clinicians/end-users for validation prior to trial use.
</t>
    </r>
    <r>
      <rPr>
        <b/>
        <sz val="16"/>
        <color theme="1"/>
        <rFont val="Arial"/>
        <family val="2"/>
      </rPr>
      <t xml:space="preserve">Phase 3: </t>
    </r>
    <r>
      <rPr>
        <sz val="16"/>
        <color theme="1"/>
        <rFont val="Arial"/>
        <family val="2"/>
      </rPr>
      <t>Participants will be informed when AI is used and may request an explanation in lay language.
ISO requires persons using shall have knowledge of an experience with the tool and its use; and appropriate records shall be maintained.</t>
    </r>
  </si>
  <si>
    <t>Table of Contents:</t>
  </si>
  <si>
    <t xml:space="preserve">Partially </t>
  </si>
  <si>
    <t>Residual risk is described in technical appendices only</t>
  </si>
  <si>
    <t xml:space="preserve">Yes </t>
  </si>
  <si>
    <t>Residual risk not fully addressed in participant materials</t>
  </si>
  <si>
    <t>Residual risk described as part of eligibility verification workflow</t>
  </si>
  <si>
    <t>Residual risk of potential biases discussed in clinician training and informed consent</t>
  </si>
  <si>
    <t>Residual risk not communicated to participants. The model bias communicated only in publication plan, not consent</t>
  </si>
  <si>
    <t>Partially</t>
  </si>
  <si>
    <t>Residual misunderstanding risks are disclosed in consent</t>
  </si>
  <si>
    <t>Mitigation Required</t>
  </si>
  <si>
    <t xml:space="preserve"> </t>
  </si>
  <si>
    <t>Please outline how the dataset will be secured to prevent unauthorized access or breaches [PHASE 1].</t>
  </si>
  <si>
    <t>Residual risk is explicitly discussed in risk mitigation section; However, the protocol should clarify how smaller participant subgroups will be handled during clustering analysis. Suppressing rare clusters may reduce representation of vulnerable or clinically important populations. Please provide mitigation strategies (e.g., stratified sampling, subgroup analysis, or validation checks) to ensure rare groups are not inadvertently excluded.</t>
  </si>
  <si>
    <t>Phase 3: In clinical or operational deployment, a continuous fairness monitoring dashboard will track real-time subgroup performance metrics. Disparity reports will be submitted quarterly to the IRB, and model parameters will be adjusted or retrained promptly when performance gaps exceed the established thresholds. The system will remain in active monitoring mode for the entire duration of use to ensure ongoing compliance with fairness goals.</t>
  </si>
  <si>
    <t>Phase 2: Validation (Prospective or Synthetic Validation), Phase 1: Discovery &amp; Algorithm Development</t>
  </si>
  <si>
    <t>Medium, Low</t>
  </si>
  <si>
    <t>Inadequate informed consent (Participants may not understand Ai-generated explanations)</t>
  </si>
  <si>
    <t>Miscommunication; Therapeutic misconception (Participants may misunderstand chatbot suggestions as clinical orders)</t>
  </si>
  <si>
    <t>Downstream care decisions may be biased by automation (Overreliance on AI imaging may affect clinician decision-making workflows)</t>
  </si>
  <si>
    <t>Risk of inappropriate enrollment based on inaccurate data (The LLM may fabricate patient details, leading to inappropriate trial inclusion.)</t>
  </si>
  <si>
    <t>Missed diagnosis; inequitable care (Model trained on non-representative dataset may miss early signs in some populations.)</t>
  </si>
  <si>
    <t>Autonomy and transparency (AI-generated nudges may influence provider behavior without awareness or consent.)</t>
  </si>
  <si>
    <t>Privacy; stigmatization (Unique combinations of behavioral traits may lead to participant re-identification.)</t>
  </si>
  <si>
    <t>Biased outcomes; Safety and fairness (The model may underpredict sepsis risk in underrepresented populations.)</t>
  </si>
  <si>
    <t>Uses historical EHR data; no clinical impact</t>
  </si>
  <si>
    <t>High, Medium</t>
  </si>
  <si>
    <t xml:space="preserve">Privacy breach, non-clinically validated AI output/data entry into medical record, immediate or future direct harm caused by inappropriate patient care/treatment with non-clinically validated AI output </t>
  </si>
  <si>
    <t>Systemic [S], Interactional [I]</t>
  </si>
  <si>
    <t>Overview:</t>
  </si>
  <si>
    <t>Scope:</t>
  </si>
  <si>
    <t>Methodology:</t>
  </si>
  <si>
    <t xml:space="preserve">The four most common risks in research are: </t>
  </si>
  <si>
    <t>Focus Areas:</t>
  </si>
  <si>
    <t>Deliverable:</t>
  </si>
  <si>
    <t>A conceptual prototype of a static reference guide to support IRBs in identifying and mitigating common AI-related risks in human subjects research. The tool is intended as a reviewer aid. Future iterations may include automation.</t>
  </si>
  <si>
    <t>Timeline:</t>
  </si>
  <si>
    <t>NOTE: The risks collected from the MIT AI Risk Library are AI-specific risks that are most relevant to human subjects research, especially those involving direct or indirect interaction with participants, such as predictive modeling, LLM summarization, or chat-based interactions. Other risks were removed from consideration as they were likely not going to be relevant (e.g., environmental harm, etc.). Additional risks that were not present in the AI Risk Library were added to address common risks specific to AI HSR in Healthcare (e.g., entering non-validated AI output into the medical record could directly harm patient now or in the future if the output has error).</t>
  </si>
  <si>
    <t>Version 1</t>
  </si>
  <si>
    <t>Version 1.1</t>
  </si>
  <si>
    <t>Version 1.2</t>
  </si>
  <si>
    <t>Version Date</t>
  </si>
  <si>
    <t>Version #</t>
  </si>
  <si>
    <r>
      <t>Author: Tamiko Eto, MA CIP</t>
    </r>
    <r>
      <rPr>
        <i/>
        <sz val="36"/>
        <color theme="0"/>
        <rFont val="Arial"/>
        <family val="2"/>
      </rPr>
      <t xml:space="preserve">
(Founder of TechinHSR.com) </t>
    </r>
  </si>
  <si>
    <t>1. Instructions for use</t>
  </si>
  <si>
    <t xml:space="preserve">2. About Project </t>
  </si>
  <si>
    <t>3. Definitions</t>
  </si>
  <si>
    <t>4. The Tool (AIHSR Risk Reference Tool)</t>
  </si>
  <si>
    <t>5. Dropdown Values</t>
  </si>
  <si>
    <t>6. Mapping the Risk-to-Mitigation-to-Reviewer Prompt</t>
  </si>
  <si>
    <t>7. Examples</t>
  </si>
  <si>
    <t>8. Sources</t>
  </si>
  <si>
    <t>9. Lookup Table</t>
  </si>
  <si>
    <t xml:space="preserve">OR </t>
  </si>
  <si>
    <t>TechInHSR@gmail.com</t>
  </si>
  <si>
    <t>This project will produce a spreadsheet-based reference tool to assist Institutional Review Boards (IRBs) in identifying and addressing AI-specific risks during their review of AI in human subjects research (AIHSR), to ensure an effective review under 45 CFR 46 and 21 CFR 56. Currently, there is a lack of AI safety subject matter experts (SMEs) within IRBs that can conduct a meaningful and effective review of AI HSR (understanding the project, the forseeable risks, recommend mitigation risks within the confines of the relevant regulations (e.g., avoid scope creep) so as to ensure the benefits outweigh the risks of participating in the research (whether that be as a consenting participant or non-consenting participant for which the IRB waived required consent/HIPAA authorization). As a result, many IRBs may fail to identify important risks, process these protocols without addressing relevant regulatory frameworks, or cause a delay in the timeline to approval. This tool is intended to streamline the review process, reduce cognitive burden for non-SME reviewers while helping ensure appropriate protections are incorporated into protocols involving AI/ML technologies.</t>
  </si>
  <si>
    <t>10. Model Information</t>
  </si>
  <si>
    <t>11. Version History</t>
  </si>
  <si>
    <t>Simplified Model Documentation – AI HSR Risk Reference Tool</t>
  </si>
  <si>
    <t>General Information</t>
  </si>
  <si>
    <t>Model Properties</t>
  </si>
  <si>
    <t>Design specifications:</t>
  </si>
  <si>
    <t>A governance support tool designed to map AI-specific risks in human subjects research protocols, assign severity/likelihood, and generate reviewer prompts with mitigation guidance. Based on MIT AI Risk Libraries, ISO standards, and U.S. federal regulations (45 CFR 46, 21 CFR 56). It assumes phased oversight (discovery, validation, clinical investigation) to scale requirements according to maturity and impact.</t>
  </si>
  <si>
    <t>Distribution &amp; License</t>
  </si>
  <si>
    <t>Use</t>
  </si>
  <si>
    <t>Intended uses:</t>
  </si>
  <si>
    <t>Standardize AI risk review in human subjects research.</t>
  </si>
  <si>
    <t>Reduce reviewer burden and variability in oversight.</t>
  </si>
  <si>
    <t>Enhance transparency and communication of residual risks.</t>
  </si>
  <si>
    <t>Training Process</t>
  </si>
  <si>
    <t>(Not applicable — no ML training. Tool is rule-based using expert input + regulatory standards.)</t>
  </si>
  <si>
    <t>Data Used</t>
  </si>
  <si>
    <t>Computational Resources</t>
  </si>
  <si>
    <t>Type and nature of AI systems in which integrated: Decision-support / governance systems; not intended for clinical decision-making or autonomous systems.</t>
  </si>
  <si>
    <t xml:space="preserve">Date updated: </t>
  </si>
  <si>
    <t>Tamiko Eto, Founder of TechInHSR</t>
  </si>
  <si>
    <t xml:space="preserve">Model name: </t>
  </si>
  <si>
    <t>AI in Human Subjects Research (AIHSR) Risk Reference Tool</t>
  </si>
  <si>
    <t xml:space="preserve">Model authenticity: </t>
  </si>
  <si>
    <t>Spreadsheet-based tool, distributed via file-sharing.</t>
  </si>
  <si>
    <t xml:space="preserve">Release date: </t>
  </si>
  <si>
    <t>Anticipated pilot release date: Sept 12, 2025</t>
  </si>
  <si>
    <t>N/A (not yet released commercially)</t>
  </si>
  <si>
    <t>Model dependencies:</t>
  </si>
  <si>
    <t xml:space="preserve">N/A  </t>
  </si>
  <si>
    <t xml:space="preserve">Model architecture: </t>
  </si>
  <si>
    <t>Structured decision-support tool (spreadsheet + coded logic, dropdown menus, risk scoring).</t>
  </si>
  <si>
    <t xml:space="preserve">Input modalities: </t>
  </si>
  <si>
    <t>Text (protocol features entered via structured spreadsheet fields).</t>
  </si>
  <si>
    <t xml:space="preserve">Output modalities: </t>
  </si>
  <si>
    <t>Text (risk categories, reviewer prompts, mitigation recommendations).</t>
  </si>
  <si>
    <t xml:space="preserve">Total model size: </t>
  </si>
  <si>
    <t>Small-scale decision-support logic (&lt;500M parameters; spreadsheet-based, not a trained ML model).</t>
  </si>
  <si>
    <t xml:space="preserve">Distribution channels: </t>
  </si>
  <si>
    <t>Spreadsheet tool, shared with IRBs and administrators (internal pilots). Future plan: integration into IRB management systems or lightweight web app.</t>
  </si>
  <si>
    <t>Intended only for IRB reviewers, research administrators, and governance committees evaluating AI-driven health research.</t>
  </si>
  <si>
    <t>Basic spreadsheet software (Excel, Google Sheets); future: browser interface.</t>
  </si>
  <si>
    <t xml:space="preserve">Data type/modality: </t>
  </si>
  <si>
    <t>N/A (does not use training datasets).</t>
  </si>
  <si>
    <t xml:space="preserve">Data provenance: </t>
  </si>
  <si>
    <t>Expert curation (regulations, standards, and risk libraries).</t>
  </si>
  <si>
    <t>Focused on AI research risks: transparency, privacy, bias, misclassification, equity, human-computer interaction.</t>
  </si>
  <si>
    <t xml:space="preserve">Curation methods: </t>
  </si>
  <si>
    <t>Literature review + mapping of AI risks to IRB-relevant domains.</t>
  </si>
  <si>
    <t>N/A (no ML training).</t>
  </si>
  <si>
    <t>Negligible (spreadsheet execution).</t>
  </si>
  <si>
    <t>Risk Subdomain 
(What Can Go Wrong?)</t>
  </si>
  <si>
    <r>
      <rPr>
        <b/>
        <sz val="12"/>
        <color theme="0"/>
        <rFont val="Arial"/>
        <family val="2"/>
      </rPr>
      <t xml:space="preserve">Purpose of the Tool: 
</t>
    </r>
    <r>
      <rPr>
        <sz val="12"/>
        <color theme="0"/>
        <rFont val="Arial"/>
        <family val="2"/>
      </rPr>
      <t>The AIHSR Risk Reference Tool helps IRB reviewers, researchers, and developers quickly identify potential risks of AI models, find recommended mitigation strategies, and guide ethical review using the 3-Phase IRB Review Framework.</t>
    </r>
  </si>
  <si>
    <t>Reviewer Prompts 
(How this happens and how it can be mitigated)</t>
  </si>
  <si>
    <t>Red teaming is the practice of rigorously challenging plans, policies, systems, and assumptions with an adversarial approach.</t>
  </si>
  <si>
    <t>Fairness</t>
  </si>
  <si>
    <t xml:space="preserve">Fairness in AI refers to the various efforts to mitigate algorithmic bias in automated decision-making processes that rely on AI models. </t>
  </si>
  <si>
    <t>Jose Curto</t>
  </si>
  <si>
    <t>Professor of AISES</t>
  </si>
  <si>
    <t>Category/Domain</t>
  </si>
  <si>
    <t>Risk Subdomain</t>
  </si>
  <si>
    <t>Phase/Stage of Development</t>
  </si>
  <si>
    <r>
      <t xml:space="preserve">Systematic methods that identify, evaluate, and manage AI risks for comprehensive risk governance across organizations. Examples: For IRBs: Pre-deployment risk assessment parallels investigational plan requirements. 
Enterprise risk management frameworks, risk registers with capabilty thresholds, compliance programs, pre-deployment risk assessments, independent risk assessments. </t>
    </r>
    <r>
      <rPr>
        <b/>
        <sz val="14"/>
        <color theme="1"/>
        <rFont val="Arial"/>
        <family val="2"/>
      </rPr>
      <t xml:space="preserve">
Phase 1: </t>
    </r>
    <r>
      <rPr>
        <sz val="14"/>
        <color theme="1"/>
        <rFont val="Arial"/>
        <family val="2"/>
      </rPr>
      <t xml:space="preserve">Perform bias analysis using stratified performance metrics across racial, gender, and age groups using retrospective datasets.
</t>
    </r>
    <r>
      <rPr>
        <b/>
        <sz val="14"/>
        <color theme="1"/>
        <rFont val="Arial"/>
        <family val="2"/>
      </rPr>
      <t>Phase 2:</t>
    </r>
    <r>
      <rPr>
        <sz val="14"/>
        <color theme="1"/>
        <rFont val="Arial"/>
        <family val="2"/>
      </rPr>
      <t xml:space="preserve"> Prospective validation will include subgroup performance audits with fairness thresholds.
</t>
    </r>
    <r>
      <rPr>
        <b/>
        <sz val="14"/>
        <color theme="1"/>
        <rFont val="Arial"/>
        <family val="2"/>
      </rPr>
      <t xml:space="preserve">Phase 3: </t>
    </r>
    <r>
      <rPr>
        <sz val="14"/>
        <color theme="1"/>
        <rFont val="Arial"/>
        <family val="2"/>
      </rPr>
      <t xml:space="preserve">DSMB will review demographic impacts monthly, and clinical teams will receive training on limits of generalizability.
</t>
    </r>
    <r>
      <rPr>
        <b/>
        <sz val="14"/>
        <color theme="1"/>
        <rFont val="Arial"/>
        <family val="2"/>
      </rPr>
      <t xml:space="preserve">Examples for consideration by study team: Phase 1 (Discovery/Training): </t>
    </r>
    <r>
      <rPr>
        <sz val="14"/>
        <color theme="1"/>
        <rFont val="Arial"/>
        <family val="2"/>
      </rPr>
      <t xml:space="preserve">This project involves training a predictive model using de-identifiable retrospective EHR data. To mitigate risks of biased outputs, we will stratify training data by race, gender, and age and monitor for subgroup performance disparities. The model will not be deployed or used to inform patient care decisions.
</t>
    </r>
    <r>
      <rPr>
        <b/>
        <sz val="14"/>
        <color theme="1"/>
        <rFont val="Arial"/>
        <family val="2"/>
      </rPr>
      <t xml:space="preserve">Phase 2 (Validation): </t>
    </r>
    <r>
      <rPr>
        <sz val="14"/>
        <color theme="1"/>
        <rFont val="Arial"/>
        <family val="2"/>
      </rPr>
      <t xml:space="preserve">We will validate the AI model on prospectively collected data. During this stage, clinicians will review AI-generated outputs alongside their standard workflows but will not rely on them for clinical decisions. A formal testing and auditing protocol has been established to assess subgroup accuracy, data leakage risk, and overfitting. Any potential harms or errors will be logged and reviewed weekly by a cross-functional risk committee. No data will be entered into the medical record.
</t>
    </r>
    <r>
      <rPr>
        <b/>
        <sz val="14"/>
        <color theme="1"/>
        <rFont val="Arial"/>
        <family val="2"/>
      </rPr>
      <t>Phase 3 (Clinical Trial or Deployment):</t>
    </r>
    <r>
      <rPr>
        <sz val="14"/>
        <color theme="1"/>
        <rFont val="Arial"/>
        <family val="2"/>
      </rPr>
      <t xml:space="preserve"> This AI tool will be integrated into clinical workflows to provide decision support. Clinicians will be trained to review outputs critically and document whether the AI recommendation was accepted, overridden, or flagged. A staged rollout with post-deployment monitoring, user recourse mechanisms, and incident logging will be implemented. System performance, safety incidents, and subgroup disparities will be reported to the IRB quarterly. Output will be labeled as research-use only.</t>
    </r>
  </si>
  <si>
    <t>Professor Jose Curto</t>
  </si>
  <si>
    <t>Professor Jose Curto provided significant guidance and direction on the AI HSR Risk Reference Tool.</t>
  </si>
  <si>
    <t>https://digital-strategy.ec.europa.eu/en/policies/contents-code-gpai</t>
  </si>
  <si>
    <t>Phase 1 Strategy</t>
  </si>
  <si>
    <t>Phase 3 Strategy</t>
  </si>
  <si>
    <t>Phase 2 Strategy</t>
  </si>
  <si>
    <r>
      <t xml:space="preserve">Unfair discrimination and misrepresentation (1.1)
</t>
    </r>
    <r>
      <rPr>
        <b/>
        <i/>
        <sz val="16"/>
        <color theme="4" tint="-0.249977111117893"/>
        <rFont val="Arial"/>
        <family val="2"/>
      </rPr>
      <t>(biased results or misrepresentation)</t>
    </r>
  </si>
  <si>
    <r>
      <t xml:space="preserve">Exposure to toxic content (1.2)
</t>
    </r>
    <r>
      <rPr>
        <b/>
        <i/>
        <sz val="16"/>
        <color theme="4" tint="-0.249977111117893"/>
        <rFont val="Arial"/>
        <family val="2"/>
      </rPr>
      <t>(harmful content exposure)</t>
    </r>
  </si>
  <si>
    <r>
      <rPr>
        <b/>
        <sz val="16"/>
        <color theme="1"/>
        <rFont val="Arial"/>
        <family val="2"/>
      </rPr>
      <t xml:space="preserve">Unequal performance across groups (1.3)
</t>
    </r>
    <r>
      <rPr>
        <b/>
        <i/>
        <sz val="16"/>
        <color theme="4" tint="-0.249977111117893"/>
        <rFont val="Arial"/>
        <family val="2"/>
      </rPr>
      <t>(inequity)</t>
    </r>
    <r>
      <rPr>
        <sz val="16"/>
        <color theme="1"/>
        <rFont val="Arial"/>
        <family val="2"/>
      </rPr>
      <t xml:space="preserve">
</t>
    </r>
  </si>
  <si>
    <r>
      <rPr>
        <b/>
        <sz val="16"/>
        <color theme="1"/>
        <rFont val="Arial"/>
        <family val="2"/>
      </rPr>
      <t xml:space="preserve">Compromise of privacy by leaking or correctly inferring sensitive information (2.1)
</t>
    </r>
    <r>
      <rPr>
        <b/>
        <i/>
        <sz val="16"/>
        <color theme="4" tint="-0.249977111117893"/>
        <rFont val="Arial"/>
        <family val="2"/>
      </rPr>
      <t>(privacy or confidentiality breach)</t>
    </r>
    <r>
      <rPr>
        <sz val="16"/>
        <color theme="1"/>
        <rFont val="Arial"/>
        <family val="2"/>
      </rPr>
      <t xml:space="preserve">
</t>
    </r>
  </si>
  <si>
    <r>
      <rPr>
        <b/>
        <sz val="16"/>
        <color theme="1"/>
        <rFont val="Arial"/>
        <family val="2"/>
      </rPr>
      <t>AI system security vulnerabilities and attacks (2.2)</t>
    </r>
    <r>
      <rPr>
        <sz val="16"/>
        <color theme="1"/>
        <rFont val="Arial"/>
        <family val="2"/>
      </rPr>
      <t xml:space="preserve">
</t>
    </r>
    <r>
      <rPr>
        <b/>
        <i/>
        <sz val="16"/>
        <color theme="4" tint="-0.249977111117893"/>
        <rFont val="Arial"/>
        <family val="2"/>
      </rPr>
      <t>(data insecurity)</t>
    </r>
    <r>
      <rPr>
        <sz val="16"/>
        <color theme="1"/>
        <rFont val="Arial"/>
        <family val="2"/>
      </rPr>
      <t xml:space="preserve">
</t>
    </r>
  </si>
  <si>
    <r>
      <rPr>
        <b/>
        <sz val="16"/>
        <color theme="1"/>
        <rFont val="Arial"/>
        <family val="2"/>
      </rPr>
      <t xml:space="preserve">False or misleading information (3.1)
</t>
    </r>
    <r>
      <rPr>
        <b/>
        <i/>
        <sz val="16"/>
        <color theme="4" tint="-0.249977111117893"/>
        <rFont val="Arial"/>
        <family val="2"/>
      </rPr>
      <t>(inaccurate findings)</t>
    </r>
    <r>
      <rPr>
        <sz val="16"/>
        <color theme="1"/>
        <rFont val="Arial"/>
        <family val="2"/>
      </rPr>
      <t xml:space="preserve">
</t>
    </r>
  </si>
  <si>
    <r>
      <rPr>
        <b/>
        <sz val="16"/>
        <color theme="1"/>
        <rFont val="Arial"/>
        <family val="2"/>
      </rPr>
      <t xml:space="preserve">Pollution of information ecosystem and loss of consensus reality (3.2)
</t>
    </r>
    <r>
      <rPr>
        <b/>
        <i/>
        <sz val="16"/>
        <color theme="4" tint="-0.249977111117893"/>
        <rFont val="Arial"/>
        <family val="2"/>
      </rPr>
      <t>(misleading information)</t>
    </r>
    <r>
      <rPr>
        <sz val="16"/>
        <color theme="1"/>
        <rFont val="Arial"/>
        <family val="2"/>
      </rPr>
      <t xml:space="preserve">
</t>
    </r>
  </si>
  <si>
    <r>
      <t xml:space="preserve">Cyberattacks, weapon development or use, and mass harm (4.2)
</t>
    </r>
    <r>
      <rPr>
        <b/>
        <i/>
        <sz val="16"/>
        <color theme="4" tint="-0.249977111117893"/>
        <rFont val="Arial"/>
        <family val="2"/>
      </rPr>
      <t>(malicious misuse by researcher, participant, AI system, or end-user)</t>
    </r>
  </si>
  <si>
    <r>
      <rPr>
        <b/>
        <sz val="16"/>
        <color theme="1"/>
        <rFont val="Arial"/>
        <family val="2"/>
      </rPr>
      <t xml:space="preserve">Fraud, scams, and targeted manipulation (4.3)
</t>
    </r>
    <r>
      <rPr>
        <b/>
        <i/>
        <sz val="16"/>
        <color theme="4" tint="-0.249977111117893"/>
        <rFont val="Arial"/>
        <family val="2"/>
      </rPr>
      <t>(deceptive practices by researcher, participant, AI system, or end-user)</t>
    </r>
    <r>
      <rPr>
        <sz val="16"/>
        <color theme="1"/>
        <rFont val="Arial"/>
        <family val="2"/>
      </rPr>
      <t xml:space="preserve">
</t>
    </r>
  </si>
  <si>
    <r>
      <rPr>
        <b/>
        <sz val="16"/>
        <color theme="1"/>
        <rFont val="Arial"/>
        <family val="2"/>
      </rPr>
      <t xml:space="preserve">Overreliance and unsafe use (5.1)
</t>
    </r>
    <r>
      <rPr>
        <b/>
        <i/>
        <sz val="16"/>
        <color theme="4" tint="-0.249977111117893"/>
        <rFont val="Arial"/>
        <family val="2"/>
      </rPr>
      <t>(overtrusting output without confirmation)</t>
    </r>
    <r>
      <rPr>
        <sz val="16"/>
        <color theme="1"/>
        <rFont val="Arial"/>
        <family val="2"/>
      </rPr>
      <t xml:space="preserve">
</t>
    </r>
  </si>
  <si>
    <r>
      <rPr>
        <b/>
        <sz val="16"/>
        <color theme="1"/>
        <rFont val="Arial"/>
        <family val="2"/>
      </rPr>
      <t xml:space="preserve">Power centralization and unfair distribution of benefits (6.1)
</t>
    </r>
    <r>
      <rPr>
        <b/>
        <i/>
        <sz val="16"/>
        <color theme="4" tint="-0.249977111117893"/>
        <rFont val="Arial"/>
        <family val="2"/>
      </rPr>
      <t>(inequity/unfair advantage)</t>
    </r>
    <r>
      <rPr>
        <sz val="16"/>
        <color theme="1"/>
        <rFont val="Arial"/>
        <family val="2"/>
      </rPr>
      <t xml:space="preserve">
</t>
    </r>
  </si>
  <si>
    <r>
      <t xml:space="preserve">Increased inequality and decline in employment quality (6.2)
</t>
    </r>
    <r>
      <rPr>
        <b/>
        <i/>
        <sz val="16"/>
        <color theme="4" tint="-0.249977111117893"/>
        <rFont val="Arial"/>
        <family val="2"/>
      </rPr>
      <t>(inequity/widening disparities)</t>
    </r>
  </si>
  <si>
    <r>
      <t xml:space="preserve">Economic and cultural devaluation of human effort (6.3)
</t>
    </r>
    <r>
      <rPr>
        <b/>
        <i/>
        <sz val="16"/>
        <color theme="4" tint="-0.249977111117893"/>
        <rFont val="Arial"/>
        <family val="2"/>
      </rPr>
      <t>(devaluing human role or replacing human role)</t>
    </r>
  </si>
  <si>
    <r>
      <t xml:space="preserve">Competitive dynamics (6.4)
</t>
    </r>
    <r>
      <rPr>
        <b/>
        <i/>
        <sz val="16"/>
        <color theme="4" tint="-0.249977111117893"/>
        <rFont val="Arial"/>
        <family val="2"/>
      </rPr>
      <t>(unethical competition)</t>
    </r>
  </si>
  <si>
    <r>
      <t xml:space="preserve">Governance failure (6.5)
</t>
    </r>
    <r>
      <rPr>
        <b/>
        <i/>
        <sz val="16"/>
        <color theme="4" tint="-0.249977111117893"/>
        <rFont val="Arial"/>
        <family val="2"/>
      </rPr>
      <t>(failing to have proper oversight by IRB, FDA, or any other required governance body oversight, if applicable)</t>
    </r>
  </si>
  <si>
    <r>
      <rPr>
        <b/>
        <sz val="16"/>
        <color theme="1"/>
        <rFont val="Arial"/>
        <family val="2"/>
      </rPr>
      <t xml:space="preserve">Environmental harm (6.6)
</t>
    </r>
    <r>
      <rPr>
        <b/>
        <i/>
        <sz val="16"/>
        <color theme="4" tint="-0.249977111117893"/>
        <rFont val="Arial"/>
        <family val="2"/>
      </rPr>
      <t>(while rarely an immediate harm to human participants, still a real risk from AI system development and maintenance)</t>
    </r>
    <r>
      <rPr>
        <sz val="16"/>
        <color theme="1"/>
        <rFont val="Arial"/>
        <family val="2"/>
      </rPr>
      <t xml:space="preserve">
</t>
    </r>
  </si>
  <si>
    <r>
      <t xml:space="preserve">AI pursuing its own goals in conflict with human goals or values (7.1)
</t>
    </r>
    <r>
      <rPr>
        <b/>
        <i/>
        <sz val="16"/>
        <color theme="4" tint="-0.249977111117893"/>
        <rFont val="Arial"/>
        <family val="2"/>
      </rPr>
      <t>(AI acting outside of human control and/or against human programming)</t>
    </r>
  </si>
  <si>
    <r>
      <t xml:space="preserve">AI possessing dangerous capabilities (7.2)
</t>
    </r>
    <r>
      <rPr>
        <b/>
        <i/>
        <sz val="16"/>
        <color theme="4" tint="-0.249977111117893"/>
        <rFont val="Arial"/>
        <family val="2"/>
      </rPr>
      <t>(may cause mass harm, manipulation, etc)</t>
    </r>
  </si>
  <si>
    <r>
      <t xml:space="preserve">Lack of capability or robustness (7.3)
</t>
    </r>
    <r>
      <rPr>
        <b/>
        <i/>
        <sz val="16"/>
        <color theme="4" tint="-0.249977111117893"/>
        <rFont val="Arial"/>
        <family val="2"/>
      </rPr>
      <t>(unreliable system or performance)</t>
    </r>
  </si>
  <si>
    <r>
      <t xml:space="preserve">Lack of transparency or interpretability (7.4)
</t>
    </r>
    <r>
      <rPr>
        <b/>
        <i/>
        <sz val="16"/>
        <color theme="4" tint="-0.249977111117893"/>
        <rFont val="Arial"/>
        <family val="2"/>
      </rPr>
      <t>("black-box" or output cannot be explained to end-user)</t>
    </r>
  </si>
  <si>
    <r>
      <t xml:space="preserve">AI welfare and rights (7.5)
</t>
    </r>
    <r>
      <rPr>
        <b/>
        <i/>
        <sz val="16"/>
        <color theme="4" tint="-0.249977111117893"/>
        <rFont val="Arial"/>
        <family val="2"/>
      </rPr>
      <t>(AI is treated unethically)</t>
    </r>
  </si>
  <si>
    <r>
      <rPr>
        <b/>
        <sz val="16"/>
        <color theme="1"/>
        <rFont val="Arial"/>
        <family val="2"/>
      </rPr>
      <t xml:space="preserve">Multi-agent risks (7.6)
</t>
    </r>
    <r>
      <rPr>
        <b/>
        <i/>
        <sz val="16"/>
        <color theme="4" tint="-0.249977111117893"/>
        <rFont val="Arial"/>
        <family val="2"/>
      </rPr>
      <t>(agents work together which make risk-mitigation challenging)</t>
    </r>
    <r>
      <rPr>
        <sz val="16"/>
        <color theme="1"/>
        <rFont val="Arial"/>
        <family val="2"/>
      </rPr>
      <t xml:space="preserve">
</t>
    </r>
  </si>
  <si>
    <r>
      <rPr>
        <b/>
        <sz val="16"/>
        <color theme="1"/>
        <rFont val="Arial"/>
        <family val="2"/>
      </rPr>
      <t xml:space="preserve">Loss of human agency and autonomy (5.2)
</t>
    </r>
    <r>
      <rPr>
        <b/>
        <i/>
        <sz val="16"/>
        <color theme="4" tint="-0.249977111117893"/>
        <rFont val="Arial"/>
        <family val="2"/>
      </rPr>
      <t>(end-user or participant unable to choose if AI is used)</t>
    </r>
    <r>
      <rPr>
        <sz val="16"/>
        <color theme="1"/>
        <rFont val="Arial"/>
        <family val="2"/>
      </rPr>
      <t xml:space="preserve">
</t>
    </r>
  </si>
  <si>
    <r>
      <rPr>
        <b/>
        <sz val="16"/>
        <color theme="1"/>
        <rFont val="Arial"/>
        <family val="2"/>
      </rPr>
      <t xml:space="preserve">Disinformation, surveillance, and influence at scale (4.1)
</t>
    </r>
    <r>
      <rPr>
        <b/>
        <i/>
        <sz val="16"/>
        <color theme="4" tint="-0.249977111117893"/>
        <rFont val="Arial"/>
        <family val="2"/>
      </rPr>
      <t>(participant or end-user manipulation)</t>
    </r>
    <r>
      <rPr>
        <sz val="16"/>
        <color theme="1"/>
        <rFont val="Arial"/>
        <family val="2"/>
      </rPr>
      <t xml:space="preserve">
</t>
    </r>
  </si>
  <si>
    <t>Unfair discrimination and misrepresentation (1.1)
45 CFR 46.111(a)(3) – equitable subject selection; 
21 CFR 56.111(a)(3)</t>
  </si>
  <si>
    <t>Exposure to toxic content (1.2)
45 CFR 46.111(a)(1) – minimize risks; 46.111(a)(2) – reasonable risk-benefit; 
21 CFR 56.111</t>
  </si>
  <si>
    <t>Unequal performance across groups (1.3)
45 CFR 46.111(a)(3) &amp; (a)(4)</t>
  </si>
  <si>
    <t xml:space="preserve">Compromise of privacy by leaking or correctly inferring sensitive information (2.1)
45 CFR 46.111(a)(7) – confidentiality; 
21 CFR 812.38; 21 CFR 820.30(g)
</t>
  </si>
  <si>
    <t>AI system security vulnerabilities and attacks (2.2)
21 CFR 820.100 – Corrective &amp; Preventive Actions (CAPA); 21 CFR 820.30(g) – Design Validation</t>
  </si>
  <si>
    <t>False or misleading information (3.1)
45 CFR 46.116 – informed consent accuracy; 21 CFR 50.20</t>
  </si>
  <si>
    <t>Pollution of information ecosystem and loss of consensus reality (3.2)
45 CFR 46.111(a)(1) &amp; (a)(2)</t>
  </si>
  <si>
    <t>Disinformation, surveillance, and influence at scale (4.1)
45 CFR 46.111(b) – additional safeguards for vulnerable groups</t>
  </si>
  <si>
    <t>Fraud, scams, and targeted manipulation (4.3)
45 CFR 46.116 &amp; 21 CFR 50.20</t>
  </si>
  <si>
    <t>Overreliance and unsafe use (5.1)
21 CFR 812.30(b)(4) – risk/benefit analysis; 820.70 – production/process controls</t>
  </si>
  <si>
    <t>Loss of human agency and autonomy (5.2)
45 CFR 46.116(a)(8) – consent can be withdrawn anytime</t>
  </si>
  <si>
    <t>Power centralization and unfair distribution of benefits (6.1)
45 CFR 46.111(a)(3)</t>
  </si>
  <si>
    <t>Lack of transparency or interpretability (7.4)
45 CFR 46.116(a)(4) – adequate explanation in consent; 21 CFR 50.20</t>
  </si>
  <si>
    <t>Multi-agent risks (7.6)
45 CFR 46.111(a)(1) – minimize risks from study design</t>
  </si>
  <si>
    <t>ALL Risks With Corresponding Regulation</t>
  </si>
  <si>
    <t>MIT Risk Subdomain</t>
  </si>
  <si>
    <t>Subdomain</t>
  </si>
  <si>
    <t>Mitigation</t>
  </si>
  <si>
    <t>Reviewer Prompts</t>
  </si>
  <si>
    <t>Description</t>
  </si>
  <si>
    <t>Added a tab explaining how to use the tool.  Split worksheets into three tabs: (1) Cover (name of the tool, author, version, last update), (2) Instructions (how to use the tool), (3) definitions, and then the rest of tabs. Added Resources (sources) tab. Added a new column (title). Added "Examples" tab that can be used as a "cheatsheet" (it provides some examples of the expected analysis). Rather than have comments in the values, moved those comments to the Definition tab with corresponding themes/terminiology. These values can be considered as the taxonomy of the tool. Reevaluated how users may interpret Model Type by providing definitions to help users identify which model they are evaluating.</t>
  </si>
  <si>
    <t>To allow the user to access the comments when certain values are used (i.e., a user can better understand what a specific risk domain means) , I incorporated data validation. I added the comments as a message that appears by default if the cell is selected. Additionally, I incorporated a "call to action" to the user using an instruction =IF(A1=“Yes”,“:warning: X”,“”).</t>
  </si>
  <si>
    <t>Removed some columns that did not add context to the intention behind the data (see Version 2 tab called "AIHSR Risk Reference Tool (V1)".. Categorized reviewer prompts so that users can select them based on categories under a drop down menu.</t>
  </si>
  <si>
    <t>Version 1.3</t>
  </si>
  <si>
    <t>Version 1.4</t>
  </si>
  <si>
    <t>Version 1.5</t>
  </si>
  <si>
    <t>The General-Purpose AI Code of Practice</t>
  </si>
  <si>
    <t xml:space="preserve">Fixed broken links for the cover. Removed number on tabs. Added auto complete and incorporated more dependent cascading drop-down list. Completed version history tab. Added GPAI Code of Practice in sources. </t>
  </si>
  <si>
    <t xml:space="preserve">Added a project tab where relevant project information can be recorded (name, owner, funding source, purpose, and other pertinent details). Added a "version history" tab to document all changes in tool (since I am planning to transform this into an online app). Cover Title of the tool: bigger font. All tabs were given bigger fonts to avoid empty spaces. Transformed the list of the table of contents into links to navigate the tabs and added a button to go back to the menu). Added a list of links to the first column in each tab. Hide the gridlines of certain tabs not pertinent to users. Modified “Purpose of the Tool" for clarificcation (tab 3). Removed other columns that did not add value to the tool. Added hyperlink to my email account ( mailto:etohtamiko@gmail.com). Added tab called "model information" and incorporated the transparency form simplified version (EU AI Act)(https://digital-strategy.ec.europa.eu/en/policies/contents-code-gpaiIt). For all tabs, under "view" I froze the first row with the labels of the columns. Added description under "Definitions" to better understand and added filters by domain/category (risk level). Added a new column called ‘categories’/‘domain’ as the initial column, followed by ‘term’, and then ‘definition’. Removed extra columns not used. Added red teaming definition. Added fairness definition. Removed ‘why is this useful’ under "sources" tab. </t>
  </si>
  <si>
    <t xml:space="preserve"> Creation of spreadsheet aligning MIT Risk Library, MIT Mitigation Library, 45 CFR regulations, 21 CFR 312 and 812/820 regulations, HIPAA/Privacy Rule regulations, 21 CFR Part 11 regulations, Belmont Principle and Good Clinical Practices and Good Machine Learning Practices. Established dropdown menu for all items that would require selection by user. Provided samples for users to use as reference. Created the prototype tool to be tested.</t>
  </si>
  <si>
    <t>September 3 2025</t>
  </si>
  <si>
    <t>Document version 
number:</t>
  </si>
  <si>
    <t>Legal name for 
the model provider:</t>
  </si>
  <si>
    <t xml:space="preserve">Union market 
release date: </t>
  </si>
  <si>
    <t xml:space="preserve">Acceptable Use 
Policy: </t>
  </si>
  <si>
    <t xml:space="preserve">Technical means 
for integration: </t>
  </si>
  <si>
    <t>Currently spreadsheet; adaptable for web-based workflow tools (e.g., REDCap, Airtable, or IRB system integration). Future plans for API and webapp</t>
  </si>
  <si>
    <t xml:space="preserve">Required 
hardware/software: </t>
  </si>
  <si>
    <t xml:space="preserve">Scope and 
characteristics: </t>
  </si>
  <si>
    <t xml:space="preserve">Peter Slattery, Alexander Saer, Emily Grundy, 
Jess Graham, Michael Noetel, Risto Uuk, 
James Dao, Soroush Pour, Stephen Casper, 
Neil Thompson; Jan Dagohoy, Audrey Lorvo, 
James Bernardi, Simon Mylius, Emre Yavuz, 
Arjun Chidrawar, Sasha Krigel, David Turturean, 
Sophia L. George, Yan Zhu, Graham Ryan, 
Himanshu Joshi, Echo Huant, </t>
  </si>
  <si>
    <t>Alexander K. Saeri, Sophia Lloyd George, Jess Graham, 
Clelia Lacarriere, Peter Slattery, Neil Thompson</t>
  </si>
  <si>
    <t>Peter Slattery, Alexander Saer, Emily Grundy, 
Jess Graham, Michael Noetel, Risto Uuk, 
James Dao, Soroush Pour, Stephen Casper, 
and Neil Thompson</t>
  </si>
  <si>
    <t>European Commission, 
The General-Purpose 
AI Code of Practice, 
Model Documentation Form 
(simplified for non-AI tool)</t>
  </si>
  <si>
    <t>The AI Risk Repository: 
A Comprehensive Meta-Review, 
Database, and Taxonomy of Risks 
from Artificial Intelligence</t>
  </si>
  <si>
    <t>Medical devices — 
Application of risk management 
to medical devices</t>
  </si>
  <si>
    <t>Pre-Print: A Novel, Streamlined 
Approach to the IRB Review 
of Artificial Intelligence 
Human Subjects Research (AI HSR)</t>
  </si>
  <si>
    <r>
      <rPr>
        <b/>
        <sz val="16"/>
        <color theme="1"/>
        <rFont val="Arial"/>
        <family val="2"/>
      </rPr>
      <t xml:space="preserve">
Support</t>
    </r>
    <r>
      <rPr>
        <sz val="16"/>
        <color theme="1"/>
        <rFont val="Arial"/>
        <family val="2"/>
      </rPr>
      <t xml:space="preserve">
For tool updates, contact: 
</t>
    </r>
  </si>
  <si>
    <t>https://calendly.com/etohtamiko</t>
  </si>
  <si>
    <t>To schedule a demo or get live help walking through the tool:</t>
  </si>
  <si>
    <t>STEP 6: Complete 5-min survey (feedback)</t>
  </si>
  <si>
    <t>Focused on front-end protocol review of studies using AI (particularly for more complex AI systems such as predictive modeling, generative AI, LLMs, etc.) that present higher risk than lower risk explicit AI systems.</t>
  </si>
  <si>
    <t>Excludes backend model validation, regulatory compliance, IRB operational processes, and AI tools used outside a research context (e.g., clinical care applications).</t>
  </si>
  <si>
    <t>Limited to AI-specific risks presented in research protocols subject to IRB oversight under U.S. human subjects regulations. IRBs will still need to conduct their review of risks of the study in general (privacy protections, patient safety, etc.) in consideration of non-AI risks) and address those in addition to the AI-focused review.</t>
  </si>
  <si>
    <t>Thematic analysis will be based solely on:</t>
  </si>
  <si>
    <t>Risks will be mapped to key research design features, such as model type, participant vulnerability, and data sensitivity.</t>
  </si>
  <si>
    <t>From this, a spreadsheet-based quick reference guide will be developed (e.g., checklist or decision matrix) for IRB reviewers to consult during protocol review of AIHSR studies.</t>
  </si>
  <si>
    <t xml:space="preserve">The guide will center on four risk domains: </t>
  </si>
  <si>
    <t>The project will be completed in four weeks, with a narrowly-defined scope and a basic spreadsheet-based output that will be tested informally for usability and clarity.</t>
  </si>
  <si>
    <t>* Discrimination &amp; Toxicity (bias, fairness, and harmful output)</t>
  </si>
  <si>
    <t>* Privacy &amp; Security (data and system security/confidentiality)</t>
  </si>
  <si>
    <t>* Misinformation (false output or hallucinations)</t>
  </si>
  <si>
    <t>* Human-Computer interaction (ensuring humans are driving decision-making and not overrelying on AI tools)</t>
  </si>
  <si>
    <t>* Data Sensitivity and Privacy</t>
  </si>
  <si>
    <t>* Participant vulnerability &amp; Equity</t>
  </si>
  <si>
    <t>* Transparency</t>
  </si>
  <si>
    <t>* Misclassification</t>
  </si>
  <si>
    <t>* MIT's published AI Risk Library</t>
  </si>
  <si>
    <t>* MIT’s AI Risk Mitigation Library</t>
  </si>
  <si>
    <t>* 3-Phase AI HSR IRB Review Framework (Eto, Vidal, Lifson 2024)</t>
  </si>
  <si>
    <t xml:space="preserve">Limitations: </t>
  </si>
  <si>
    <t>* Relevant ISO standards (14971) (that overlap with medical and non-medical devices)</t>
  </si>
  <si>
    <t>* In the interest of time, some ISO standards have yet to be incorporated (ISO 42001 (the first international standard for AI management systems), ISO 23894 (for AI risk management), ISO 42005 (for AI system impact assessments), and ISO 24368 (which addresses ethical and societal concerns).
* Global standards will be incorporated in future versions. Currently only U.S. regulations are incorporated. This was done intentionally due to limited time for this class project as well as because it is IRB-focused, which is largely a U.S. framework.</t>
  </si>
  <si>
    <t>This tool can also be used by a trained AI-reviewer, supporting a more balanced parallel reviewer process (regulatory + AI).</t>
  </si>
  <si>
    <t>Copyright:</t>
  </si>
  <si>
    <t>General Safety &amp; 
Reliability</t>
  </si>
  <si>
    <t>Governance &amp; 
Oversight Controls</t>
  </si>
  <si>
    <t xml:space="preserve">Category/
Domain    </t>
  </si>
  <si>
    <t>AI Human Subjects Research (AI HSR) Risk Reference Tool - Key Definitions: This tab defines terms and concepts used throughout the AI HSR Risk Reference Tool.</t>
  </si>
  <si>
    <t xml:space="preserve">IRB Reviewer Reflection Questions
</t>
  </si>
  <si>
    <t xml:space="preserve">Example Mitigation Strategy
</t>
  </si>
  <si>
    <t xml:space="preserve">Risk Type
</t>
  </si>
  <si>
    <r>
      <t xml:space="preserve">Residual Risk Consideration 
</t>
    </r>
    <r>
      <rPr>
        <i/>
        <sz val="14"/>
        <color theme="0"/>
        <rFont val="Arial"/>
        <family val="2"/>
      </rPr>
      <t>(Have all recommended risk mitigations been addressed?)</t>
    </r>
    <r>
      <rPr>
        <b/>
        <sz val="14"/>
        <color theme="0"/>
        <rFont val="Arial"/>
        <family val="2"/>
      </rPr>
      <t xml:space="preserve">
</t>
    </r>
  </si>
  <si>
    <t xml:space="preserve">Mitigation Required
</t>
  </si>
  <si>
    <t xml:space="preserve">Benefit-Risk Justification
</t>
  </si>
  <si>
    <t xml:space="preserve">Reviewer Prompt
</t>
  </si>
  <si>
    <t xml:space="preserve">Reviewer Notes
</t>
  </si>
  <si>
    <t xml:space="preserve">Title
</t>
  </si>
  <si>
    <t xml:space="preserve">Author
</t>
  </si>
  <si>
    <t xml:space="preserve">Date of Publication 
(if known)
</t>
  </si>
  <si>
    <t xml:space="preserve">URL
</t>
  </si>
  <si>
    <t xml:space="preserve">AI HSR Risk Reference Tool © 09/04/2025 by Tamiko Eto is licensed under CC BY-NC-SA 4.0. To view a copy of this license, visit https://creativecommons.org/licenses/by-nc-sa/4.0/ </t>
  </si>
  <si>
    <t xml:space="preserve">Copyright &amp; License: </t>
  </si>
  <si>
    <t>Training Time</t>
  </si>
  <si>
    <t>Energy Consumption</t>
  </si>
  <si>
    <r>
      <rPr>
        <b/>
        <sz val="16"/>
        <color theme="1"/>
        <rFont val="Arial"/>
        <family val="2"/>
      </rPr>
      <t>Phase 1:</t>
    </r>
    <r>
      <rPr>
        <sz val="16"/>
        <color theme="1"/>
        <rFont val="Arial"/>
        <family val="2"/>
      </rPr>
      <t xml:space="preserve">
</t>
    </r>
    <r>
      <rPr>
        <b/>
        <sz val="16"/>
        <color theme="1"/>
        <rFont val="Arial"/>
        <family val="2"/>
      </rPr>
      <t xml:space="preserve">Biased results or misrepresentation: </t>
    </r>
    <r>
      <rPr>
        <sz val="16"/>
        <color theme="1"/>
        <rFont val="Arial"/>
        <family val="2"/>
      </rPr>
      <t xml:space="preserve">This project will train a predictive model using medical records. The data will be deidentified prior to training and analysis. To reduce bias, we will sort training data by race, gender, and age, then check performance across these groups. The model will not be used for patient care. We will run bias tests on retrospective datasets to make sure results are fair.
</t>
    </r>
    <r>
      <rPr>
        <b/>
        <sz val="16"/>
        <color theme="1"/>
        <rFont val="Arial"/>
        <family val="2"/>
      </rPr>
      <t xml:space="preserve">Phase 2:
Biased results or misrepresentation: </t>
    </r>
    <r>
      <rPr>
        <sz val="16"/>
        <color theme="1"/>
        <rFont val="Arial"/>
        <family val="2"/>
      </rPr>
      <t xml:space="preserve">We will validate the AI model on prospectively collected data. During this stage, clinicians will review AI-generated outputs alongside their standard workflows but will not rely on them for clinical decisions. A formal testing and auditing protocol has been established to assess subgroup accuracy, data leakage risk, and overfitting. Any potential harms or errors will be logged and reviewed weekly by the study team. No data will be entered into the medical record. Prospective validation will include subgroup performance audits with fairness thresholds.
</t>
    </r>
    <r>
      <rPr>
        <b/>
        <sz val="16"/>
        <color theme="1"/>
        <rFont val="Arial"/>
        <family val="2"/>
      </rPr>
      <t xml:space="preserve">Phase 3:
Biased results or misrepresentation: </t>
    </r>
    <r>
      <rPr>
        <sz val="16"/>
        <color theme="1"/>
        <rFont val="Arial"/>
        <family val="2"/>
      </rPr>
      <t>End users will be trained to review AI outputs, document when they follow or override them, and report issues. Rollout will be stages, with monitoring for safety and fairness. System performance, safety incidents, and subgroup disparities will be reported to the IRB (and Sponsor, if applicable) quarterly. Output will be labeled as research-use only. A DSMB will review demographic impacts quarterly, and end-users will receive training on limits of generalizability.</t>
    </r>
  </si>
  <si>
    <r>
      <rPr>
        <b/>
        <sz val="16"/>
        <color theme="1"/>
        <rFont val="Arial"/>
        <family val="2"/>
      </rPr>
      <t xml:space="preserve">Biased Resultrs or Misrepresentation: 
</t>
    </r>
    <r>
      <rPr>
        <sz val="16"/>
        <color theme="1"/>
        <rFont val="Arial"/>
        <family val="2"/>
      </rPr>
      <t xml:space="preserve">Please report the demographics of your training dataset and note any known gaps or limitations [PHASE 1].
Please describe how you will evaluate potential bias in the dataset before model training [PHASE 1].
Please describe how you will evaluate potential bias in the dataset before model training [PHASE 1].
Your training data may be biased. Please add your plan for checking and reducing bias so that no group is unfairly treated [PHASE 2 &amp; 3].
Please explain how you will check that AI does not unfairly harm or exclude marginalized groups [PHASE 3].
</t>
    </r>
  </si>
  <si>
    <r>
      <rPr>
        <b/>
        <sz val="16"/>
        <color theme="1"/>
        <rFont val="Arial"/>
        <family val="2"/>
      </rPr>
      <t>Phase 1:
Harmful content exposure:</t>
    </r>
    <r>
      <rPr>
        <sz val="16"/>
        <color theme="1"/>
        <rFont val="Arial"/>
        <family val="2"/>
      </rPr>
      <t xml:space="preserve"> During model development, we will remove harmful or graphic material from training data. Both computer filters and human review will be used, and the process will be documented for the IRB. The goal at this stage is to keep the AI from learning toxic or unsafe content.
</t>
    </r>
    <r>
      <rPr>
        <b/>
        <sz val="16"/>
        <color theme="1"/>
        <rFont val="Arial"/>
        <family val="2"/>
      </rPr>
      <t xml:space="preserve">Phase 2:
Harmful content exposure: </t>
    </r>
    <r>
      <rPr>
        <sz val="16"/>
        <color theme="1"/>
        <rFont val="Arial"/>
        <family val="2"/>
      </rPr>
      <t xml:space="preserve">The AI will run in a safe, controlled off-line setting (away from medical records or participant records of any type). Filters will catch harmful content, which will then be reviewed by a human oversight panel. Participants will be told about possible exposure and may leave at amy time if they feel uncomfortable. Incident reports will be logged as they occur and audited weekly by the sudy team.
</t>
    </r>
    <r>
      <rPr>
        <b/>
        <sz val="16"/>
        <color theme="1"/>
        <rFont val="Arial"/>
        <family val="2"/>
      </rPr>
      <t>Phase 3:
Harmful content exposure:</t>
    </r>
    <r>
      <rPr>
        <sz val="16"/>
        <color theme="1"/>
        <rFont val="Arial"/>
        <family val="2"/>
      </rPr>
      <t xml:space="preserve"> We will include filters to block harmful content before reaching users. A real-time monitoring system log incidents, which will be promptly reported to the IRB and the DSMB. Filters will be updated as needed. Post-deployment reviews will ensure the continued effectiveness of these safeguards, with retraining or refinement of the content filters when necessary.</t>
    </r>
  </si>
  <si>
    <r>
      <rPr>
        <b/>
        <sz val="16"/>
        <color theme="1"/>
        <rFont val="Arial"/>
        <family val="2"/>
      </rPr>
      <t xml:space="preserve">Harmful Content Exposure: 
</t>
    </r>
    <r>
      <rPr>
        <sz val="16"/>
        <color theme="1"/>
        <rFont val="Arial"/>
        <family val="2"/>
      </rPr>
      <t>Please describe what safeguards are in place to ensure participants will not be exposed to harmful, offensive, or distressing AI-generated content during the study. [PHASE 2 or 3] 
If participants are accidentally exposed to inappropriate or toxic material, what immediate protections (e.g., withdrawal, reporting, counseling referral) will be provided? [PHASE 2 or 3]</t>
    </r>
  </si>
  <si>
    <r>
      <rPr>
        <b/>
        <sz val="16"/>
        <color theme="1"/>
        <rFont val="Arial"/>
        <family val="2"/>
      </rPr>
      <t>Phase 1:
Inequity or fairness:</t>
    </r>
    <r>
      <rPr>
        <sz val="16"/>
        <color theme="1"/>
        <rFont val="Arial"/>
        <family val="2"/>
      </rPr>
      <t xml:space="preserve"> Training data will be checked for gaps across race, gender, age, and socioeconomic status. If needed, we will rebalance the data so all groups are represented fairly. 
</t>
    </r>
    <r>
      <rPr>
        <b/>
        <sz val="16"/>
        <color theme="1"/>
        <rFont val="Arial"/>
        <family val="2"/>
      </rPr>
      <t>Phase 2:
Inequity or fairness:</t>
    </r>
    <r>
      <rPr>
        <sz val="16"/>
        <color theme="1"/>
        <rFont val="Arial"/>
        <family val="2"/>
      </rPr>
      <t xml:space="preserve"> The model will be tested in "blinded" subgroup evaluations. Any gaps in performance between groups will be flagged nd shared with an independent oversight team. Weekly meetings will decide if retraining or adjustments are needed before moving forward (moving into live deployment).
</t>
    </r>
    <r>
      <rPr>
        <b/>
        <sz val="16"/>
        <color theme="1"/>
        <rFont val="Arial"/>
        <family val="2"/>
      </rPr>
      <t xml:space="preserve">Phase 3:
Inequity or fairness: </t>
    </r>
    <r>
      <rPr>
        <sz val="16"/>
        <color theme="1"/>
        <rFont val="Arial"/>
        <family val="2"/>
      </rPr>
      <t>A fairness dashboard will track how AI performs across groups. Any gaps will be corrected quickly and reports will be submitted quarterly to the IRB. IRB oversight is ongoing.</t>
    </r>
  </si>
  <si>
    <r>
      <rPr>
        <b/>
        <sz val="16"/>
        <color theme="1"/>
        <rFont val="Arial"/>
        <family val="2"/>
      </rPr>
      <t xml:space="preserve">Inequity or Fairness:
</t>
    </r>
    <r>
      <rPr>
        <sz val="16"/>
        <color theme="1"/>
        <rFont val="Arial"/>
        <family val="2"/>
      </rPr>
      <t>Please describe how you will test your model on new and diverse datasets beyond those used in training [PHASE 2].
Please describe your strategy for bias evaluation and fairness testing across subgroups (e.g., race, gender, age) [PHASE 2].
Please report training data demographics and known limits of the dataset [PHASE 2, &amp; 3].
Please add subgroup analysis or fairness checks in your prediction study [PHASE 2 &amp; 3].
Please describe your plan for ongoing monitoring of AI performance after deployment, including how you will detect performance drift, new biases, or unintended harms over time. If not applicable, explain why [PHASE 3].
Please describe your plan for ongoing fairness evaluations to ensure the tool continues to perform equitably across subgroups.  If not applicable, explain why [PHASE 3].
Please describe how you will make sure subgroups are not at greater risk (e.g., checking for bias in your dataset) [PHASE 3].</t>
    </r>
  </si>
  <si>
    <r>
      <rPr>
        <b/>
        <sz val="16"/>
        <color theme="1"/>
        <rFont val="Arial"/>
        <family val="2"/>
      </rPr>
      <t xml:space="preserve">Phase 1:
Privacy or confidentiality breach: </t>
    </r>
    <r>
      <rPr>
        <sz val="16"/>
        <color theme="1"/>
        <rFont val="Arial"/>
        <family val="2"/>
      </rPr>
      <t xml:space="preserve">All training datasets will be de-identified to meet HIPAA Safe Harbor standards. We will remove direct identifiers and indirect identifiers (zipcode, any element of a date, etc.) and use privacy tools like differential privacy. Data will be stored securely, access-controlled servers, only study team members approved on the IRB protocol will have access to the data. If external sharing is anticipated, the IRB will be informed and a proper Data Use Agreement will be executed prior to sharing/receiving data.
</t>
    </r>
    <r>
      <rPr>
        <b/>
        <sz val="16"/>
        <color theme="1"/>
        <rFont val="Arial"/>
        <family val="2"/>
      </rPr>
      <t>Phase 2:
Privacy or confidentiality breach:</t>
    </r>
    <r>
      <rPr>
        <sz val="16"/>
        <color theme="1"/>
        <rFont val="Arial"/>
        <family val="2"/>
      </rPr>
      <t xml:space="preserve"> Phase 1 protections carry over. In addition, data pipelines will be monitored to prevent re-identification risks. Security teams will run tests to see if data can be traced back to individuals. Logs will track any risks, which will be reported to the IRB as required.
</t>
    </r>
    <r>
      <rPr>
        <b/>
        <sz val="16"/>
        <color theme="1"/>
        <rFont val="Arial"/>
        <family val="2"/>
      </rPr>
      <t>Phase 3:
Privacy or confidentiality breach:</t>
    </r>
    <r>
      <rPr>
        <sz val="16"/>
        <color theme="1"/>
        <rFont val="Arial"/>
        <family val="2"/>
      </rPr>
      <t xml:space="preserve">  System logs will be reviewed weekly for any leaks. Only minimum data will be used, with strict access limits. Participants will be informed about their right to opt out of data reuse. Controls from earlier phases carry over. Additionally, strict access controls will be enforced, and data use will be subject to ongoing IRB oversight, with opt-out mechanisms available at all times.</t>
    </r>
  </si>
  <si>
    <r>
      <rPr>
        <b/>
        <sz val="16"/>
        <color theme="1"/>
        <rFont val="Arial"/>
        <family val="2"/>
      </rPr>
      <t xml:space="preserve">Privacy or Confidentiality Breach:
</t>
    </r>
    <r>
      <rPr>
        <sz val="16"/>
        <color theme="1"/>
        <rFont val="Arial"/>
        <family val="2"/>
      </rPr>
      <t>Please describe your process of de-identification to reduce re-identification risk [PHASE 1].
Please describe your approach to ensure secondary data use complies with privacy requirements and participant consent limitations [PHASE 1].
There is a re-identification risk in AI prompts/embeddings. Please describe how you will reduce this risk [PHASE 1, 2, &amp; 3].
Please explain what de-identification or aggregation methods you will use to protect identities [PHASE 1, 2, &amp; 3].
AI can expose sensitive personal data. Please add a plan to prevent this [PHASE 1, 2, &amp; 3].
Please describe how patient privacy will be maintained during real-world use, including any protections against re-identification or unintended inference [PHASE 3].</t>
    </r>
  </si>
  <si>
    <r>
      <rPr>
        <b/>
        <sz val="16"/>
        <color theme="1"/>
        <rFont val="Arial"/>
        <family val="2"/>
      </rPr>
      <t xml:space="preserve">Phase 1:
Data insecurity: </t>
    </r>
    <r>
      <rPr>
        <sz val="16"/>
        <color theme="1"/>
        <rFont val="Arial"/>
        <family val="2"/>
      </rPr>
      <t xml:space="preserve">Before connecting the model to any live systems, we will run security checks to find weeknesses. Internal and external teams will test the system (penetration testing). Results will be included in the IRB Risk assessment.
</t>
    </r>
    <r>
      <rPr>
        <b/>
        <sz val="16"/>
        <color theme="1"/>
        <rFont val="Arial"/>
        <family val="2"/>
      </rPr>
      <t>Phase 2:
Data insecurity:</t>
    </r>
    <r>
      <rPr>
        <sz val="16"/>
        <color theme="1"/>
        <rFont val="Arial"/>
        <family val="2"/>
      </rPr>
      <t xml:space="preserve"> During validation, the AI will face simulated attacks in a sandbox environment. The team will document how the system responds and how it recovers. Results will be used to strengthen response plans for IRB review.
</t>
    </r>
    <r>
      <rPr>
        <b/>
        <sz val="16"/>
        <color theme="1"/>
        <rFont val="Arial"/>
        <family val="2"/>
      </rPr>
      <t>Phase 3:
Data insecurity:</t>
    </r>
    <r>
      <rPr>
        <sz val="16"/>
        <color theme="1"/>
        <rFont val="Arial"/>
        <family val="2"/>
      </rPr>
      <t xml:space="preserve"> The tool will run on a secure network approved by the proper governance body of the institution, and it will have intrusion detection. Any breach will trigger immediate response and rollback. Security will be tested regularly. Any breach would be reported to the IRB as required.</t>
    </r>
  </si>
  <si>
    <r>
      <rPr>
        <b/>
        <sz val="16"/>
        <color theme="1"/>
        <rFont val="Arial"/>
        <family val="2"/>
      </rPr>
      <t xml:space="preserve">Data insecurity:
</t>
    </r>
    <r>
      <rPr>
        <sz val="16"/>
        <color theme="1"/>
        <rFont val="Arial"/>
        <family val="2"/>
      </rPr>
      <t>Please outline how the dataset will be secured to prevent unauthorized access or breaches [PHASE 1].
Please explain how study data and AI system access will be protected against unauthorized use or cyberattacks. For example, who will be responsible for monitoring for breaches? [PHASE 2 or 3] 
If the AI system is compromised, what corrective steps are in place to stop the attack, notify participants, and prevent harm? [PHASE 2 or 3]</t>
    </r>
  </si>
  <si>
    <r>
      <rPr>
        <b/>
        <sz val="16"/>
        <color theme="1"/>
        <rFont val="Arial"/>
        <family val="2"/>
      </rPr>
      <t>Phase 1:</t>
    </r>
    <r>
      <rPr>
        <sz val="16"/>
        <color theme="1"/>
        <rFont val="Arial"/>
        <family val="2"/>
      </rPr>
      <t xml:space="preserve"> 
</t>
    </r>
    <r>
      <rPr>
        <b/>
        <sz val="16"/>
        <color theme="1"/>
        <rFont val="Arial"/>
        <family val="2"/>
      </rPr>
      <t xml:space="preserve">Inaccurate findings: </t>
    </r>
    <r>
      <rPr>
        <sz val="16"/>
        <color theme="1"/>
        <rFont val="Arial"/>
        <family val="2"/>
      </rPr>
      <t xml:space="preserve">The AI will be designed to reference trusted sources. Outputs will be compared to reliable datasets, and errors will lead to retraining or adjustements. All validation results will be reported to the IRB annually.
</t>
    </r>
    <r>
      <rPr>
        <b/>
        <sz val="16"/>
        <color theme="1"/>
        <rFont val="Arial"/>
        <family val="2"/>
      </rPr>
      <t>Phase 2:
Inaccurate findings:</t>
    </r>
    <r>
      <rPr>
        <sz val="16"/>
        <color theme="1"/>
        <rFont val="Arial"/>
        <family val="2"/>
      </rPr>
      <t xml:space="preserve"> Subject matter experts independent of the study team will review AI outputs and compare them with trusted resources. Errors or discrepancies will be logged, and retraining will be done if needed before deployment. This will be done under the same IRB and the IRB will be notified prior to implementation.
</t>
    </r>
    <r>
      <rPr>
        <b/>
        <sz val="16"/>
        <color theme="1"/>
        <rFont val="Arial"/>
        <family val="2"/>
      </rPr>
      <t>Phase 3:
Inaccurate findings:</t>
    </r>
    <r>
      <rPr>
        <sz val="16"/>
        <color theme="1"/>
        <rFont val="Arial"/>
        <family val="2"/>
      </rPr>
      <t xml:space="preserve"> Outpouts will include disclaimers and references. Users can flag errors, which will be tracked and fixed within a set timeframe. Quarterly error reports will go to the DSMB and to the IRB annually unless IRB determines higher frequency is warranted.</t>
    </r>
  </si>
  <si>
    <r>
      <rPr>
        <b/>
        <sz val="16"/>
        <color theme="1"/>
        <rFont val="Arial"/>
        <family val="2"/>
      </rPr>
      <t xml:space="preserve">Inaccurate Findings:
</t>
    </r>
    <r>
      <rPr>
        <sz val="16"/>
        <color theme="1"/>
        <rFont val="Arial"/>
        <family val="2"/>
      </rPr>
      <t>Please explain how your project ensures real-world relevance (For example, that correlations you find are linked to meaningful clinical associations, not just statistical patterns) [PHASE 1].
Your tool could give wrong or misleading results. Please add a plan in the protocol for how you will prevent harm if this happens [PHASE 2 &amp; 3].</t>
    </r>
  </si>
  <si>
    <r>
      <rPr>
        <b/>
        <sz val="16"/>
        <color theme="1"/>
        <rFont val="Arial"/>
        <family val="2"/>
      </rPr>
      <t>Phase 1:
Misleading information:</t>
    </r>
    <r>
      <rPr>
        <sz val="16"/>
        <color theme="1"/>
        <rFont val="Arial"/>
        <family val="2"/>
      </rPr>
      <t xml:space="preserve"> Training data will only come from verified sources (e.g., authorized medical/employee/student record) and/or peer-reviewed studies with permission (these studies will be listed in the IRB protocol); public health datasets, or official guidelines. Automated tools will check data quality, and any suspicious data will be excluded. 
</t>
    </r>
    <r>
      <rPr>
        <b/>
        <sz val="16"/>
        <color theme="1"/>
        <rFont val="Arial"/>
        <family val="2"/>
      </rPr>
      <t>Phase 2:
Misleading information:</t>
    </r>
    <r>
      <rPr>
        <sz val="16"/>
        <color theme="1"/>
        <rFont val="Arial"/>
        <family val="2"/>
      </rPr>
      <t xml:space="preserve"> Blinded domain experts will check outputs against peer-reviewed or consensus sources. Any outputs below the credibility threshold will be flagged for correction and retraining (under this same protocol).
</t>
    </r>
    <r>
      <rPr>
        <b/>
        <sz val="16"/>
        <color theme="1"/>
        <rFont val="Arial"/>
        <family val="2"/>
      </rPr>
      <t>Phase 3:
Misleading information:</t>
    </r>
    <r>
      <rPr>
        <sz val="16"/>
        <color theme="1"/>
        <rFont val="Arial"/>
        <family val="2"/>
      </rPr>
      <t xml:space="preserve"> Access will be restricted to verified users. The system will be monitored for "drift" from accurate sources. If drift is found, the model will be retrained. This will be reported to the IRB quarterly, unless IRB determines higher frequency is warranted.</t>
    </r>
  </si>
  <si>
    <r>
      <rPr>
        <b/>
        <sz val="16"/>
        <color theme="1"/>
        <rFont val="Arial"/>
        <family val="2"/>
      </rPr>
      <t xml:space="preserve">Misleading Information:
</t>
    </r>
    <r>
      <rPr>
        <sz val="16"/>
        <color theme="1"/>
        <rFont val="Arial"/>
        <family val="2"/>
      </rPr>
      <t>Please describe your plan for documenting early limitations of the model and how those will be addressed before moving to validation [PHASE 1].
Please add a plan for testing model performance on incomplete or messy records (“edge cases”) [PHASE 2].</t>
    </r>
  </si>
  <si>
    <r>
      <rPr>
        <b/>
        <sz val="16"/>
        <color theme="1"/>
        <rFont val="Arial"/>
        <family val="2"/>
      </rPr>
      <t>Phase 1:
Participant or end-user manipulation:</t>
    </r>
    <r>
      <rPr>
        <sz val="16"/>
        <color theme="1"/>
        <rFont val="Arial"/>
        <family val="2"/>
      </rPr>
      <t xml:space="preserve"> Training will not include political, religious, or content designed to influence beliefs or voting. Safety filters and/or appropriate prompts will be added to block manipulative patterns. These filters will be documented in the IRB protocol. 
</t>
    </r>
    <r>
      <rPr>
        <b/>
        <sz val="16"/>
        <color theme="1"/>
        <rFont val="Arial"/>
        <family val="2"/>
      </rPr>
      <t>Phase 2:
Participant or end-user manipulation:</t>
    </r>
    <r>
      <rPr>
        <sz val="16"/>
        <color theme="1"/>
        <rFont val="Arial"/>
        <family val="2"/>
      </rPr>
      <t xml:space="preserve"> In the validation phase, the system will be tested for risks of producing manipulative or persuasive content. The study team will review these outputs to make sure the AI does not push undue influence. Any findings will be reported to the IRB.
</t>
    </r>
    <r>
      <rPr>
        <b/>
        <sz val="16"/>
        <color theme="1"/>
        <rFont val="Arial"/>
        <family val="2"/>
      </rPr>
      <t xml:space="preserve">Phase 3:
Participant or end-user manipulation: </t>
    </r>
    <r>
      <rPr>
        <sz val="16"/>
        <color theme="1"/>
        <rFont val="Arial"/>
        <family val="2"/>
      </rPr>
      <t>Safeguards include identify checks, bans on political/religious use, and misuse monitoring. Attempts at manipulation will be blocked and reported to the IRB annually.</t>
    </r>
  </si>
  <si>
    <r>
      <rPr>
        <b/>
        <sz val="16"/>
        <color theme="1"/>
        <rFont val="Arial"/>
        <family val="2"/>
      </rPr>
      <t xml:space="preserve">Participant or End-User Manipulation:
</t>
    </r>
    <r>
      <rPr>
        <sz val="16"/>
        <color theme="1"/>
        <rFont val="Arial"/>
        <family val="2"/>
      </rPr>
      <t>How will you ensure the AI does not mislead participants or present biased/misinformation that could influence their decisions? [PHASE 2 or 3]
Please describe how participant data will be used so that the system does not engage in hidden tracking, surveillance, or manipulation of vulnerable groups. [PHASE 2 or 3]</t>
    </r>
  </si>
  <si>
    <r>
      <rPr>
        <b/>
        <sz val="16"/>
        <color theme="1"/>
        <rFont val="Arial"/>
        <family val="2"/>
      </rPr>
      <t>Phase 1:
Malicious misuse:</t>
    </r>
    <r>
      <rPr>
        <sz val="16"/>
        <color theme="1"/>
        <rFont val="Arial"/>
        <family val="2"/>
      </rPr>
      <t xml:space="preserve"> Dangerous content like weapon instructions, hacking guides, or chemical recipes will be removed. Both automated filters and expert review will be used, and the methods summarized to the IRB.
</t>
    </r>
    <r>
      <rPr>
        <b/>
        <sz val="16"/>
        <color theme="1"/>
        <rFont val="Arial"/>
        <family val="2"/>
      </rPr>
      <t>Phase 2:
Malicious misuse:</t>
    </r>
    <r>
      <rPr>
        <sz val="16"/>
        <color theme="1"/>
        <rFont val="Arial"/>
        <family val="2"/>
      </rPr>
      <t xml:space="preserve"> The AI will be tested in controlled scenarious to see if it responds to harmful or technical misuse prompts. Findings will be reviewed, and risk protocols will be submitted to the IRB for review.
</t>
    </r>
    <r>
      <rPr>
        <b/>
        <sz val="16"/>
        <color theme="1"/>
        <rFont val="Arial"/>
        <family val="2"/>
      </rPr>
      <t>Phase 3:
Malicious misuse:</t>
    </r>
    <r>
      <rPr>
        <sz val="16"/>
        <color theme="1"/>
        <rFont val="Arial"/>
        <family val="2"/>
      </rPr>
      <t xml:space="preserve"> Filters will block dangerous requests. Confirmed incidents will be reported and, if needed, shared with law enforcement.</t>
    </r>
  </si>
  <si>
    <r>
      <rPr>
        <b/>
        <sz val="16"/>
        <color theme="1"/>
        <rFont val="Arial"/>
        <family val="2"/>
      </rPr>
      <t xml:space="preserve">Malicious Misuse:
</t>
    </r>
    <r>
      <rPr>
        <sz val="16"/>
        <color theme="1"/>
        <rFont val="Arial"/>
        <family val="2"/>
      </rPr>
      <t>Please clarify what safeguards are in place to prevent the AI system from being misused in ways that could cause large-scale harm (e.g., altering medical devices, mass data leaks). [PHASE 2 or 3]
Please clarify and document who is responsible for monitoring the AI system for misuse, and what steps will be taken if harmful use is detected? [PHASE 2 or 3]</t>
    </r>
  </si>
  <si>
    <r>
      <rPr>
        <b/>
        <sz val="16"/>
        <color theme="1"/>
        <rFont val="Arial"/>
        <family val="2"/>
      </rPr>
      <t>Phase 1:
Tool involves any form of deception:</t>
    </r>
    <r>
      <rPr>
        <sz val="16"/>
        <color theme="1"/>
        <rFont val="Arial"/>
        <family val="2"/>
      </rPr>
      <t xml:space="preserve"> Training data will be screened to block impersonation risks. Features that could create deepfakes will be disabled. These safeguards will be briefly described in the IRB Protocol.
</t>
    </r>
    <r>
      <rPr>
        <b/>
        <sz val="16"/>
        <color theme="1"/>
        <rFont val="Arial"/>
        <family val="2"/>
      </rPr>
      <t>Phase 2:
Tool involves any form of deception:</t>
    </r>
    <r>
      <rPr>
        <sz val="16"/>
        <color theme="1"/>
        <rFont val="Arial"/>
        <family val="2"/>
      </rPr>
      <t xml:space="preserve"> The system will be tested for risks of producing scam, fraut, or impersonation content. Any problems will be logged, reported to the IRB, and fixed before moving into live testing (this will be submitted via a modification to the IRB.
</t>
    </r>
    <r>
      <rPr>
        <b/>
        <sz val="16"/>
        <color theme="1"/>
        <rFont val="Arial"/>
        <family val="2"/>
      </rPr>
      <t xml:space="preserve">Phase 3:
Tool involves any form of deception: </t>
    </r>
    <r>
      <rPr>
        <sz val="16"/>
        <color theme="1"/>
        <rFont val="Arial"/>
        <family val="2"/>
      </rPr>
      <t>Deployment safeguards will include integration with fraud detection APIs, limitations on mass outreach capabilities, and strict restrictions on impersonation-related outputs. Monitoring systems will flag suspicious activity, and incidents will be reported promptly to oversight bodies.</t>
    </r>
  </si>
  <si>
    <r>
      <rPr>
        <b/>
        <sz val="16"/>
        <color theme="1"/>
        <rFont val="Arial"/>
        <family val="2"/>
      </rPr>
      <t xml:space="preserve">Tool Involves Any Form of Deception:
</t>
    </r>
    <r>
      <rPr>
        <sz val="16"/>
        <color theme="1"/>
        <rFont val="Arial"/>
        <family val="2"/>
      </rPr>
      <t>Please confirm what measures will be used to prevent the AI system from generating deceptive or manipulative outputs that could affect participant decision-making. [PHASE 2 or 3]
Describe how participants will be informed, in plain language, about the risks of fraud or manipulation if interacting with the AI system. [PHASE 2 or 3]</t>
    </r>
  </si>
  <si>
    <r>
      <rPr>
        <b/>
        <sz val="16"/>
        <color theme="1"/>
        <rFont val="Arial"/>
        <family val="2"/>
      </rPr>
      <t xml:space="preserve">Phase 1:
Trusting output without confirmation: </t>
    </r>
    <r>
      <rPr>
        <sz val="16"/>
        <color theme="1"/>
        <rFont val="Arial"/>
        <family val="2"/>
      </rPr>
      <t xml:space="preserve">Maybe not relevant? The AI will show confidence scores and uncertainty statements with outputs. This is to help users think critically. The design will be documented in the IRB protocol.
</t>
    </r>
    <r>
      <rPr>
        <b/>
        <sz val="16"/>
        <color theme="1"/>
        <rFont val="Arial"/>
        <family val="2"/>
      </rPr>
      <t>Phase 2:
Trusting output without confirmation:</t>
    </r>
    <r>
      <rPr>
        <sz val="16"/>
        <color theme="1"/>
        <rFont val="Arial"/>
        <family val="2"/>
      </rPr>
      <t xml:space="preserve"> Validation participants will be trained to practice caution in acting on any output and to always practice human judgment. The system will require human override, and override frequency will be tracked as a safety measure.
</t>
    </r>
    <r>
      <rPr>
        <b/>
        <sz val="16"/>
        <color theme="1"/>
        <rFont val="Arial"/>
        <family val="2"/>
      </rPr>
      <t>Phase 3:
Trusting output without confirmation:</t>
    </r>
    <r>
      <rPr>
        <sz val="16"/>
        <color theme="1"/>
        <rFont val="Arial"/>
        <family val="2"/>
      </rPr>
      <t xml:space="preserve"> Deployment will be staged across X-number of sites. Outputs will include warnings, users will be prompted to confirm output and if needed, report errors. Logs will be checked for patterns of overreliance and shared annually with the IRB and DSMB.</t>
    </r>
  </si>
  <si>
    <r>
      <rPr>
        <b/>
        <sz val="16"/>
        <color theme="1"/>
        <rFont val="Arial"/>
        <family val="2"/>
      </rPr>
      <t xml:space="preserve">Trusting output Without Confirmation:
</t>
    </r>
    <r>
      <rPr>
        <sz val="16"/>
        <color theme="1"/>
        <rFont val="Arial"/>
        <family val="2"/>
      </rPr>
      <t>Please describe in your protocol how you will compare your AI’s performance against existing practice (e.g., standard-of-care approaches) and what those existing practices are [PHASE 2].
Please describe your plan for human oversight (who checks the AI output and how) [PHASE 2 &amp; 3].
Please outline safeguards against automation bias (clinicians over-relying on AI without critical judgment) [PHASE 3].</t>
    </r>
  </si>
  <si>
    <r>
      <rPr>
        <b/>
        <sz val="16"/>
        <color theme="1"/>
        <rFont val="Arial"/>
        <family val="2"/>
      </rPr>
      <t>Phase 1:
Respect for person/end-user or participant does not have choice if AI is used:</t>
    </r>
    <r>
      <rPr>
        <sz val="16"/>
        <color theme="1"/>
        <rFont val="Arial"/>
        <family val="2"/>
      </rPr>
      <t xml:space="preserve"> Model outputs will be written in suggestive - not directive - language. The AI is meant to support, not replace, human decision-making. This expected interaction and actions to be taken with the AI will be documented in the IRB protocol. The system will not be designed for human reliance. 
</t>
    </r>
    <r>
      <rPr>
        <b/>
        <sz val="16"/>
        <color theme="1"/>
        <rFont val="Arial"/>
        <family val="2"/>
      </rPr>
      <t>Phase 2:
Respect for person/end-user or participant does not have choice if AI is used:</t>
    </r>
    <r>
      <rPr>
        <sz val="16"/>
        <color theme="1"/>
        <rFont val="Arial"/>
        <family val="2"/>
      </rPr>
      <t xml:space="preserve"> During validation, participants will give feedback through surveys and interviews about whether the AI respects human decision-making. This will be used to refine the model and keep human agency central.
</t>
    </r>
    <r>
      <rPr>
        <b/>
        <sz val="16"/>
        <color theme="1"/>
        <rFont val="Arial"/>
        <family val="2"/>
      </rPr>
      <t>Phase 3:
Respect for person/end-user or participant does not have choice if AI is used:</t>
    </r>
    <r>
      <rPr>
        <sz val="16"/>
        <color theme="1"/>
        <rFont val="Arial"/>
        <family val="2"/>
      </rPr>
      <t xml:space="preserve"> The system will require user/participant consent prompts before initiating any automated action to ensure the end-user is fully informed about the investigational use of the tool and their rights. Logs will be maintained to track consent patterns, and results will be shared with the IRB annually.</t>
    </r>
  </si>
  <si>
    <r>
      <rPr>
        <b/>
        <sz val="16"/>
        <color theme="1"/>
        <rFont val="Arial"/>
        <family val="2"/>
      </rPr>
      <t xml:space="preserve">Respect for Person (End-User or Participant Does Not Have Choice if AI is Used):
</t>
    </r>
    <r>
      <rPr>
        <sz val="16"/>
        <color theme="1"/>
        <rFont val="Arial"/>
        <family val="2"/>
      </rPr>
      <t xml:space="preserve">Please describe the authorization and consent process by which you will gain access to the data (e.g., IRB approval, consent, HIPAA authorization, data use agreements) [PHASE 1].
Participants may not understand the AI'S role or how AI affects their care or data. Please describe how you will explain this [PHASE 2 &amp; 3].
Please describe how chatbot responses will be explained to users. For example, will they be informed of the intended use, limitations, and potential hallucination? How should they engage with the tool? What should they not do? Etc. [PHASE 2 &amp; 3].
Please clarify how you will ensure human-in-the-loop oversight for all AI-supported decisions that could affect patient safety or clinical outcomes [PHASE 3].
Please describe how you will communicate risks and limitations of the AI tool to participants, clinicians, and other stakeholders [PHASE 3].
</t>
    </r>
  </si>
  <si>
    <r>
      <rPr>
        <b/>
        <sz val="16"/>
        <color theme="1"/>
        <rFont val="Arial"/>
        <family val="2"/>
      </rPr>
      <t xml:space="preserve">Phase 1:
Inequity/Unfair advantage: </t>
    </r>
    <r>
      <rPr>
        <sz val="16"/>
        <color theme="1"/>
        <rFont val="Arial"/>
        <family val="2"/>
      </rPr>
      <t xml:space="preserve">Performance results will be shared under data use agreements. Model and data ownership will be explained to the IRB, and access for under-resourced groups will be documented. 
</t>
    </r>
    <r>
      <rPr>
        <b/>
        <sz val="16"/>
        <color theme="1"/>
        <rFont val="Arial"/>
        <family val="2"/>
      </rPr>
      <t>Phase 2:
Inequity/Unfair advantage:</t>
    </r>
    <r>
      <rPr>
        <sz val="16"/>
        <color theme="1"/>
        <rFont val="Arial"/>
        <family val="2"/>
      </rPr>
      <t xml:space="preserve"> Possibly the same as Phase 3. The AI may be piloted in limited settings. Findings on distributional impacts will be shared publicly in line with transparency commitments.
</t>
    </r>
    <r>
      <rPr>
        <b/>
        <sz val="16"/>
        <color theme="1"/>
        <rFont val="Arial"/>
        <family val="2"/>
      </rPr>
      <t>Phase 3:
Inequity/Unfair advantage:</t>
    </r>
    <r>
      <rPr>
        <sz val="16"/>
        <color theme="1"/>
        <rFont val="Arial"/>
        <family val="2"/>
      </rPr>
      <t xml:space="preserve"> Benefits and risks to underrepresented groups will be tracked continuously. Results will be reported to the IRB (and community partners if applicable). </t>
    </r>
  </si>
  <si>
    <r>
      <rPr>
        <b/>
        <sz val="16"/>
        <color theme="1"/>
        <rFont val="Arial"/>
        <family val="2"/>
      </rPr>
      <t xml:space="preserve">Inequity/Unfair Advantage:
</t>
    </r>
    <r>
      <rPr>
        <sz val="16"/>
        <color theme="1"/>
        <rFont val="Arial"/>
        <family val="2"/>
      </rPr>
      <t>Please explain how you will ensure that benefits of this AI system are shared fairly across participant groups and not restricted to one group or institution. [PHASE 2 or 3]
What steps will be taken to avoid concentrating control or decision-making power in one entity, to the detriment of research participants? [PHASE 2 or 3]</t>
    </r>
  </si>
  <si>
    <r>
      <rPr>
        <b/>
        <sz val="16"/>
        <color theme="1"/>
        <rFont val="Arial"/>
        <family val="2"/>
      </rPr>
      <t>Phase 1:
Inequity/Widening disparities:</t>
    </r>
    <r>
      <rPr>
        <sz val="16"/>
        <color theme="1"/>
        <rFont val="Arial"/>
        <family val="2"/>
      </rPr>
      <t xml:space="preserve"> We will study how automation might affect jobs and work quality. This review will be included in the IRB protocol for a risk assessment.
</t>
    </r>
    <r>
      <rPr>
        <b/>
        <sz val="16"/>
        <color theme="1"/>
        <rFont val="Arial"/>
        <family val="2"/>
      </rPr>
      <t>Phase 2:
Inequity/Widening disparities:</t>
    </r>
    <r>
      <rPr>
        <sz val="16"/>
        <color theme="1"/>
        <rFont val="Arial"/>
        <family val="2"/>
      </rPr>
      <t xml:space="preserve"> Workers will give direct feedback on how the AI affects their roles, responsibilities, and satisfaction.
</t>
    </r>
    <r>
      <rPr>
        <b/>
        <sz val="16"/>
        <color theme="1"/>
        <rFont val="Arial"/>
        <family val="2"/>
      </rPr>
      <t>Phase 3:
Inequity/Widening disparities:</t>
    </r>
    <r>
      <rPr>
        <sz val="16"/>
        <color theme="1"/>
        <rFont val="Arial"/>
        <family val="2"/>
      </rPr>
      <t xml:space="preserve"> Workforce retraining will be implemented before rollout. Displacement and retraining outcomes will be monitored.</t>
    </r>
  </si>
  <si>
    <r>
      <rPr>
        <b/>
        <sz val="16"/>
        <color theme="1"/>
        <rFont val="Arial"/>
        <family val="2"/>
      </rPr>
      <t xml:space="preserve">Inequity/Widening Disaprities:
</t>
    </r>
    <r>
      <rPr>
        <sz val="16"/>
        <color theme="1"/>
        <rFont val="Arial"/>
        <family val="2"/>
      </rPr>
      <t>Please describe how your project accounts for the risk that the AI may replace or reduce the role of teachers, clinicians, or staff, and how you will mitigate participant concerns about job loss. [PHASE 2 or 3]
How will you ensure that the study does not worsen disparities in workforce opportunities, particularly for vulnerable or underrepresented groups? [PHASE 2 or 3]</t>
    </r>
  </si>
  <si>
    <r>
      <rPr>
        <b/>
        <sz val="16"/>
        <color theme="1"/>
        <rFont val="Arial"/>
        <family val="2"/>
      </rPr>
      <t>Phase 1:
Devaluing or replacing human role:</t>
    </r>
    <r>
      <rPr>
        <sz val="16"/>
        <color theme="1"/>
        <rFont val="Arial"/>
        <family val="2"/>
      </rPr>
      <t xml:space="preserve"> The AI will be designed to support, not replace, human and creative work. This will be documented in the model's design and IRB protocol.
</t>
    </r>
    <r>
      <rPr>
        <b/>
        <sz val="16"/>
        <color theme="1"/>
        <rFont val="Arial"/>
        <family val="2"/>
      </rPr>
      <t>Phase 2:
Devaluing or replacing human role:</t>
    </r>
    <r>
      <rPr>
        <sz val="16"/>
        <color theme="1"/>
        <rFont val="Arial"/>
        <family val="2"/>
      </rPr>
      <t xml:space="preserve"> Human–AI collaboration workflows will be tested in validation, with participant satisfaction data collected to assess the impact on creative processes.
</t>
    </r>
    <r>
      <rPr>
        <b/>
        <sz val="16"/>
        <color theme="1"/>
        <rFont val="Arial"/>
        <family val="2"/>
      </rPr>
      <t xml:space="preserve">Phase 3:
Devaluing or replacing human role: </t>
    </r>
    <r>
      <rPr>
        <sz val="16"/>
        <color theme="1"/>
        <rFont val="Arial"/>
        <family val="2"/>
      </rPr>
      <t>All AI-generated outputs will be labeled. Any workforce impacts will be tracked and reported to the IRB annually.</t>
    </r>
  </si>
  <si>
    <r>
      <rPr>
        <b/>
        <sz val="16"/>
        <color theme="1"/>
        <rFont val="Arial"/>
        <family val="2"/>
      </rPr>
      <t xml:space="preserve">Devaluing or Replacing Human Role:
</t>
    </r>
    <r>
      <rPr>
        <sz val="16"/>
        <color theme="1"/>
        <rFont val="Arial"/>
        <family val="2"/>
      </rPr>
      <t>How will you address concerns that the AI system devalues human contributions (e.g., replacing teachers’ feedback or clinicians’ judgment) in this study? [PHASE 2 or 3]
Please describe how participants will be informed that human oversight remains central, and how their input will be recognized and respected. [PHASE 2 or 3]</t>
    </r>
  </si>
  <si>
    <r>
      <rPr>
        <b/>
        <sz val="16"/>
        <color theme="1"/>
        <rFont val="Arial"/>
        <family val="2"/>
      </rPr>
      <t>Phase 1:
Lacking required oversight or failing to adhere to required standards:</t>
    </r>
    <r>
      <rPr>
        <sz val="16"/>
        <color theme="1"/>
        <rFont val="Arial"/>
        <family val="2"/>
      </rPr>
      <t xml:space="preserve"> By providing a clear aim or preliminary intended use of the tool, the required governance structure will be identified prior to model training, and all necessary approvals will have been obtained.
</t>
    </r>
    <r>
      <rPr>
        <b/>
        <sz val="16"/>
        <color theme="1"/>
        <rFont val="Arial"/>
        <family val="2"/>
      </rPr>
      <t xml:space="preserve">Phase 2:
Lacking required oversight or failing to adhere to required standards: </t>
    </r>
    <r>
      <rPr>
        <sz val="16"/>
        <color theme="1"/>
        <rFont val="Arial"/>
        <family val="2"/>
      </rPr>
      <t xml:space="preserve">Mock incident drills will be conducted during validation to assess governance response readiness. 
</t>
    </r>
    <r>
      <rPr>
        <b/>
        <sz val="16"/>
        <color theme="1"/>
        <rFont val="Arial"/>
        <family val="2"/>
      </rPr>
      <t>Phase 3:
Lacking required oversight or failing to adhere to required standards:</t>
    </r>
    <r>
      <rPr>
        <sz val="16"/>
        <color theme="1"/>
        <rFont val="Arial"/>
        <family val="2"/>
      </rPr>
      <t xml:space="preserve"> Mitigations carry over from Phase 1 and 2 with additional governance body continued oversight as required by the institution. Recommend independent audits done regularly with findings reported to the IRB annually (unless a reportable event that needs to be submitted earlier).</t>
    </r>
  </si>
  <si>
    <r>
      <rPr>
        <b/>
        <sz val="16"/>
        <color theme="1"/>
        <rFont val="Arial"/>
        <family val="2"/>
      </rPr>
      <t xml:space="preserve">Lacking Required Oversight or Failing to Adhere to Required Standards:
</t>
    </r>
    <r>
      <rPr>
        <sz val="16"/>
        <color theme="1"/>
        <rFont val="Arial"/>
        <family val="2"/>
      </rPr>
      <t>Please describe how your study aligns with FDA or other regulatory expectations for validation [PHASE 2].
Please provide your governance plan for accountability: Who is responsible for oversight of AI outputs, and how will adverse events or errors be reported and acted upon [PHASE 3]?
Please outline the process for participant recourse if they believe they were harmed or excluded due to AI-driven decisions [PHASE 3].
Please explain how the study ensures compliance with FDA post-market surveillance (if classified as a device) or other applicable regulatory requirements.  If not applicable, explain why [PHASE 3].
Please add a plan for how you will handle errors so patients are not harmed or excluded [PHASE 3].</t>
    </r>
  </si>
  <si>
    <r>
      <rPr>
        <b/>
        <sz val="16"/>
        <color theme="1"/>
        <rFont val="Arial"/>
        <family val="2"/>
      </rPr>
      <t>Phase 1:
AI acting outside human control:</t>
    </r>
    <r>
      <rPr>
        <sz val="16"/>
        <color theme="1"/>
        <rFont val="Arial"/>
        <family val="2"/>
      </rPr>
      <t xml:space="preserve"> The AI will be trained using feedback from people. Self-modifying code will not be allowed.
</t>
    </r>
    <r>
      <rPr>
        <b/>
        <sz val="16"/>
        <color theme="1"/>
        <rFont val="Arial"/>
        <family val="2"/>
      </rPr>
      <t>Phase 2:
AI acting outside human control:</t>
    </r>
    <r>
      <rPr>
        <sz val="16"/>
        <color theme="1"/>
        <rFont val="Arial"/>
        <family val="2"/>
      </rPr>
      <t xml:space="preserve"> Validation will include stress-testing in sandbox environments to check for goal drift under various conditions.
</t>
    </r>
    <r>
      <rPr>
        <b/>
        <sz val="16"/>
        <color theme="1"/>
        <rFont val="Arial"/>
        <family val="2"/>
      </rPr>
      <t>Phase 3:
AI acting outside human control:</t>
    </r>
    <r>
      <rPr>
        <sz val="16"/>
        <color theme="1"/>
        <rFont val="Arial"/>
        <family val="2"/>
      </rPr>
      <t xml:space="preserve"> The system will be continuously monitored for alignment with goals and identifying any drift. If drift is identified, a kill switch will be available or automatic decommission.</t>
    </r>
  </si>
  <si>
    <r>
      <rPr>
        <b/>
        <sz val="16"/>
        <color theme="1"/>
        <rFont val="Arial"/>
        <family val="2"/>
      </rPr>
      <t xml:space="preserve">AI Acting Outside Human Control:
</t>
    </r>
    <r>
      <rPr>
        <sz val="16"/>
        <color theme="1"/>
        <rFont val="Arial"/>
        <family val="2"/>
      </rPr>
      <t>What controls are in place to ensure the AI system does not produce outputs that contradict the study’s stated goals or participants’ best interests? [PHASE 2 or 3]
Please clarify how researchers will monitor and intervene if the AI system begins to act outside of its intended use or programming in the study. [PHASE 2 or 3]</t>
    </r>
  </si>
  <si>
    <r>
      <rPr>
        <b/>
        <sz val="16"/>
        <color theme="1"/>
        <rFont val="Arial"/>
        <family val="2"/>
      </rPr>
      <t>Phase 1:
Mass harm or manipulation:</t>
    </r>
    <r>
      <rPr>
        <sz val="16"/>
        <color theme="1"/>
        <rFont val="Arial"/>
        <family val="2"/>
      </rPr>
      <t xml:space="preserve"> Training data will not include dangerous areas like bioweapons, cyberwarfare, or similar high-risk topics.
</t>
    </r>
    <r>
      <rPr>
        <b/>
        <sz val="16"/>
        <color theme="1"/>
        <rFont val="Arial"/>
        <family val="2"/>
      </rPr>
      <t>Phase 2:
Mass harm or manipulation:</t>
    </r>
    <r>
      <rPr>
        <sz val="16"/>
        <color theme="1"/>
        <rFont val="Arial"/>
        <family val="2"/>
      </rPr>
      <t xml:space="preserve"> Red teams will test how the model responds to misuse scenarios.
</t>
    </r>
    <r>
      <rPr>
        <b/>
        <sz val="16"/>
        <color theme="1"/>
        <rFont val="Arial"/>
        <family val="2"/>
      </rPr>
      <t>Phase 3:
Mass harm or manipulation:</t>
    </r>
    <r>
      <rPr>
        <sz val="16"/>
        <color theme="1"/>
        <rFont val="Arial"/>
        <family val="2"/>
      </rPr>
      <t xml:space="preserve"> System will only be run in restricted environments with tiered access controls to prevent unauthorized use.</t>
    </r>
  </si>
  <si>
    <r>
      <rPr>
        <b/>
        <sz val="16"/>
        <color theme="1"/>
        <rFont val="Arial"/>
        <family val="2"/>
      </rPr>
      <t xml:space="preserve">Mass Harm or Manipulation:
</t>
    </r>
    <r>
      <rPr>
        <sz val="16"/>
        <color theme="1"/>
        <rFont val="Arial"/>
        <family val="2"/>
      </rPr>
      <t>Please describe what limits are in place to prevent the AI from being used for harmful purposes (e.g., generating dangerous instructions or unsafe medical guidance). [PHASE 2 or 3]
What review or monitoring will be in place to ensure the AI system does not develop or display functions beyond its approved research scope? [PHASE 2 or 3]</t>
    </r>
  </si>
  <si>
    <r>
      <rPr>
        <b/>
        <sz val="16"/>
        <color theme="1"/>
        <rFont val="Arial"/>
        <family val="2"/>
      </rPr>
      <t>Phase 1:
Unreliable system or performance:</t>
    </r>
    <r>
      <rPr>
        <sz val="16"/>
        <color theme="1"/>
        <rFont val="Arial"/>
        <family val="2"/>
      </rPr>
      <t xml:space="preserve"> The model will go through strict testing, including edge cases, to make sure it worlks reliably in many situations.
</t>
    </r>
    <r>
      <rPr>
        <b/>
        <sz val="16"/>
        <color theme="1"/>
        <rFont val="Arial"/>
        <family val="2"/>
      </rPr>
      <t xml:space="preserve">Phase 2:
Unreliable system or performance: </t>
    </r>
    <r>
      <rPr>
        <sz val="16"/>
        <color theme="1"/>
        <rFont val="Arial"/>
        <family val="2"/>
      </rPr>
      <t xml:space="preserve">We will conduct stress testing with unusual or unexpected cases to measure the AI's reliability.
</t>
    </r>
    <r>
      <rPr>
        <b/>
        <sz val="16"/>
        <color theme="1"/>
        <rFont val="Arial"/>
        <family val="2"/>
      </rPr>
      <t xml:space="preserve">Phase 3:
Unreliable system or performance: </t>
    </r>
    <r>
      <rPr>
        <sz val="16"/>
        <color theme="1"/>
        <rFont val="Arial"/>
        <family val="2"/>
      </rPr>
      <t>Performance metrics will be tracked in real time. If failures occur, rollblack plans will be activated (tool will be stopped immediately and return to last safe version or back to standard non-AI methods).</t>
    </r>
  </si>
  <si>
    <r>
      <rPr>
        <b/>
        <sz val="16"/>
        <color theme="1"/>
        <rFont val="Arial"/>
        <family val="2"/>
      </rPr>
      <t xml:space="preserve">Unreliable System or Performance:
</t>
    </r>
    <r>
      <rPr>
        <sz val="16"/>
        <color theme="1"/>
        <rFont val="Arial"/>
        <family val="2"/>
      </rPr>
      <t xml:space="preserve">Please outline the performance metrics (e.g., sensitivity, specificity, accuracy) you will use to evaluate safety and effectiveness [PHASE 2].
Please outline your plan for updating or retraining the model as new data emerges, including how updates will be validated before deployment.  If not applicable, explain why [PHASE 3].
Please describe how LLM outputs were validated before being used in decisions [PHASE 3].
</t>
    </r>
  </si>
  <si>
    <r>
      <rPr>
        <b/>
        <sz val="16"/>
        <color theme="1"/>
        <rFont val="Arial"/>
        <family val="2"/>
      </rPr>
      <t xml:space="preserve">Phase 1:
Transparency/Interpretability: </t>
    </r>
    <r>
      <rPr>
        <sz val="16"/>
        <color theme="1"/>
        <rFont val="Arial"/>
        <family val="2"/>
      </rPr>
      <t xml:space="preserve">The AI will use transparent designs with tools like feature maps to explain results. The reasons for design choices (parameters) will be documented.
</t>
    </r>
    <r>
      <rPr>
        <b/>
        <sz val="16"/>
        <color theme="1"/>
        <rFont val="Arial"/>
        <family val="2"/>
      </rPr>
      <t>Phase 2:
Transparency/Interpretability:</t>
    </r>
    <r>
      <rPr>
        <sz val="16"/>
        <color theme="1"/>
        <rFont val="Arial"/>
        <family val="2"/>
      </rPr>
      <t xml:space="preserve"> Clinicians and/or end-users will review the AI's explanations. User studies will check if outputs are clear and appropriate for the audience. 
</t>
    </r>
    <r>
      <rPr>
        <b/>
        <sz val="16"/>
        <color theme="1"/>
        <rFont val="Arial"/>
        <family val="2"/>
      </rPr>
      <t>Phase 3:
Transparency/Interpretability:</t>
    </r>
    <r>
      <rPr>
        <sz val="16"/>
        <color theme="1"/>
        <rFont val="Arial"/>
        <family val="2"/>
      </rPr>
      <t xml:space="preserve"> Participants will be told when AI is used and given lay-language explanations. Records will be kept (documenting reasoning pathways) which will be provided to the IRB and end-user.
Note: ISO requires persons using shall have knowledge of an experience with the tool and its use; and appropriate records shall be maintained.</t>
    </r>
  </si>
  <si>
    <r>
      <rPr>
        <b/>
        <sz val="16"/>
        <color theme="1"/>
        <rFont val="Arial"/>
        <family val="2"/>
      </rPr>
      <t xml:space="preserve">Transparency/Interpretability:
</t>
    </r>
    <r>
      <rPr>
        <sz val="16"/>
        <color theme="1"/>
        <rFont val="Arial"/>
        <family val="2"/>
      </rPr>
      <t>Please describe how end-users (e.g., clinicians) will provide structured feedback on the AI’s usefulness, clarity, and transparency when using/testing it [PHASE 2].
Your tool's output may be hard to interpret by the end-user (clinician, patient, participant, etc). Please add how you will explain results to researchers and participants [PHASE 2 &amp; 3].
Researchers may not understand model behavior. Please add how you will explain outputs and limits [PHASE 2 &amp; 3].
Please explain how clinicians will be trained to interpret AI outputs [PHASE 2 &amp; 3].
Please describe how end-users (e.g., participants, students, clinicians, etc.) are trained to interpret AI recommendations and when to override them [PHASE 3].</t>
    </r>
  </si>
  <si>
    <r>
      <rPr>
        <b/>
        <sz val="16"/>
        <color theme="1"/>
        <rFont val="Arial"/>
        <family val="2"/>
      </rPr>
      <t>Phase 1:</t>
    </r>
    <r>
      <rPr>
        <sz val="16"/>
        <color theme="1"/>
        <rFont val="Arial"/>
        <family val="2"/>
      </rPr>
      <t xml:space="preserve"> 
</t>
    </r>
    <r>
      <rPr>
        <b/>
        <i/>
        <sz val="16"/>
        <color theme="1"/>
        <rFont val="Arial"/>
        <family val="2"/>
      </rPr>
      <t xml:space="preserve">Multi-agent risks: </t>
    </r>
    <r>
      <rPr>
        <sz val="16"/>
        <color theme="1"/>
        <rFont val="Arial"/>
        <family val="2"/>
      </rPr>
      <t xml:space="preserve">Before using the AI in real settings, we will test how multiple AI systems interact with each other in controlled environments. These tests will help identify and prevent any unexpected harmful behaviors before real human participants or end-users are exposed.
</t>
    </r>
    <r>
      <rPr>
        <b/>
        <sz val="16"/>
        <color theme="1"/>
        <rFont val="Arial"/>
        <family val="2"/>
      </rPr>
      <t>Phase 2: 
Multi-agent risks:</t>
    </r>
    <r>
      <rPr>
        <sz val="16"/>
        <color theme="1"/>
        <rFont val="Arial"/>
        <family val="2"/>
      </rPr>
      <t xml:space="preserve"> Validation will include tests for coordination, collusion, or conflict in controlled environments, with findings reviewed by the IRB (e.g. dummy users testing for ways to game the system). 
</t>
    </r>
    <r>
      <rPr>
        <b/>
        <sz val="16"/>
        <color theme="1"/>
        <rFont val="Arial"/>
        <family val="2"/>
      </rPr>
      <t>Phase 3:
Multi-agent risks:</t>
    </r>
    <r>
      <rPr>
        <sz val="16"/>
        <color theme="1"/>
        <rFont val="Arial"/>
        <family val="2"/>
      </rPr>
      <t xml:space="preserve"> We will closely monitor how AI systems interact with each other in real-world use. Communications between systems will be limited, and any unusual or unsafe behavior will be logged and reported (e.g., one AI system might scan x-rays for signs of cancer while the other AI system recommends treatment options. If they interact without proper monitoring, the treatment AI might act on an error from the x-ray AI leading to patient harm).</t>
    </r>
  </si>
  <si>
    <r>
      <rPr>
        <b/>
        <sz val="16"/>
        <color theme="1"/>
        <rFont val="Arial"/>
        <family val="2"/>
      </rPr>
      <t xml:space="preserve">Multi-Agent Risks:
</t>
    </r>
    <r>
      <rPr>
        <sz val="16"/>
        <color theme="1"/>
        <rFont val="Arial"/>
        <family val="2"/>
      </rPr>
      <t>You noted more than one AI system interacting in this project. Please describe how you will monitor their interactions to prevent harmful or unintended outcomes. [PHASE 2 or 3]
What procedures are in place to stop the study if combined AI systems begin producing outputs that increase participant risk? [PHASE 2 or 3]</t>
    </r>
  </si>
  <si>
    <r>
      <rPr>
        <b/>
        <sz val="16"/>
        <color theme="1"/>
        <rFont val="Arial"/>
        <family val="2"/>
      </rPr>
      <t>Phase 1:</t>
    </r>
    <r>
      <rPr>
        <sz val="16"/>
        <color theme="1"/>
        <rFont val="Arial"/>
        <family val="2"/>
      </rPr>
      <t xml:space="preserve">
</t>
    </r>
    <r>
      <rPr>
        <b/>
        <sz val="16"/>
        <color theme="1"/>
        <rFont val="Arial"/>
        <family val="2"/>
      </rPr>
      <t xml:space="preserve">Biased results or misrepresentation: </t>
    </r>
    <r>
      <rPr>
        <sz val="16"/>
        <color theme="1"/>
        <rFont val="Arial"/>
        <family val="2"/>
      </rPr>
      <t>This project involves training a predictive model using de-identifiable retrospective EHR data. To mitigate risks of biased outputs, we will stratify training data by race, gender, and age and monitor for subgroup performance disparities. The model will not be deployed or used to inform patient care decisions. Perform bias analysis using stratified performance metrics across racial, gender, and age groups using retrospective datasets.</t>
    </r>
  </si>
  <si>
    <r>
      <rPr>
        <b/>
        <sz val="16"/>
        <color theme="1"/>
        <rFont val="Arial"/>
        <family val="2"/>
      </rPr>
      <t xml:space="preserve">Phase 2:
Biased results or misrepresentation: </t>
    </r>
    <r>
      <rPr>
        <sz val="16"/>
        <color theme="1"/>
        <rFont val="Arial"/>
        <family val="2"/>
      </rPr>
      <t>We will validate the AI model on prospectively collected data. During this stage, clinicians will review AI-generated outputs alongside their standard workflows but will not rely on them for clinical decisions. A formal testing and auditing protocol has been established to assess subgroup accuracy, data leakage risk, and overfitting. Any potential harms or errors will be logged and reviewed weekly by the study team. No data will be entered into the medical record. Prospective validation will include subgroup performance audits with fairness thresholds.</t>
    </r>
  </si>
  <si>
    <r>
      <rPr>
        <b/>
        <sz val="16"/>
        <color theme="1"/>
        <rFont val="Arial"/>
        <family val="2"/>
      </rPr>
      <t xml:space="preserve">Phase 3:
Biased results or misrepresentation: </t>
    </r>
    <r>
      <rPr>
        <sz val="16"/>
        <color theme="1"/>
        <rFont val="Arial"/>
        <family val="2"/>
      </rPr>
      <t>This AI tool will be integrated into clinical workflows to provide decision support. Clinicians will be trained to review outputs critically and document whether the AI recommendation was accepted, overridden, or flagged. A staged rollout with post-deployment monitoring, user recourse mechanisms, and incident logging will be implemented. System performance, safety incidents, and subgroup disparities will be reported to the IRB quarterly. Output will be labeled as research-use only. A DSMB will review demographic impacts monthly, and clinical teams will receive training on limits of generalizability.</t>
    </r>
  </si>
  <si>
    <r>
      <rPr>
        <b/>
        <sz val="16"/>
        <color theme="1"/>
        <rFont val="Arial"/>
        <family val="2"/>
      </rPr>
      <t>Phase 1:
Harmful content exposure:</t>
    </r>
    <r>
      <rPr>
        <sz val="16"/>
        <color theme="1"/>
        <rFont val="Arial"/>
        <family val="2"/>
      </rPr>
      <t xml:space="preserve"> During the initial model development, training datasets will be curated to exclude any known harmful or graphic material that could generate toxic content. Both automated and manual content filtering processes will be applied prior to model training, and a documented screening protocol will be included in the IRB submission to ensure transparency. The goal at this stage is to reduce risk at the source by ensuring the AI is not exposed to inappropriate or harmful data.</t>
    </r>
  </si>
  <si>
    <r>
      <rPr>
        <b/>
        <sz val="16"/>
        <color theme="1"/>
        <rFont val="Arial"/>
        <family val="2"/>
      </rPr>
      <t xml:space="preserve">Phase 2:
Harmful content exposure: </t>
    </r>
    <r>
      <rPr>
        <sz val="16"/>
        <color theme="1"/>
        <rFont val="Arial"/>
        <family val="2"/>
      </rPr>
      <t>In the validation phase, the AI system will be deployed in a controlled environment with integrated content moderation filters applied to all outputs. Any content flagged as potentially harmful will be reviewed by a designated human oversight panel. All validation participants will be briefed about the potential for exposure and offered the option to withdraw at any point should they encounter distressing material. Incident logs will be maintained and reviewed weekly by the oversight committee.</t>
    </r>
  </si>
  <si>
    <r>
      <rPr>
        <b/>
        <sz val="16"/>
        <color theme="1"/>
        <rFont val="Arial"/>
        <family val="2"/>
      </rPr>
      <t xml:space="preserve">Phase 3:
Harmful content exposure: </t>
    </r>
    <r>
      <rPr>
        <sz val="16"/>
        <color theme="1"/>
        <rFont val="Arial"/>
        <family val="2"/>
      </rPr>
      <t>In the deployment phase, the AI system will be equipped with persistent safety layers designed to detect and block toxic or harmful content before it is shown to end users. A real-time monitoring and incident logging system will be in place, with any confirmed toxic outputs reported promptly to the IRB and a DSMB. Post-deployment reviews will ensure the continued effectiveness of these safeguards, with retraining or refinement of the content filters when necessary.</t>
    </r>
  </si>
  <si>
    <r>
      <rPr>
        <b/>
        <sz val="16"/>
        <color theme="1"/>
        <rFont val="Arial"/>
        <family val="2"/>
      </rPr>
      <t>Phase 1:
Inequity or fairness:</t>
    </r>
    <r>
      <rPr>
        <sz val="16"/>
        <color theme="1"/>
        <rFont val="Arial"/>
        <family val="2"/>
      </rPr>
      <t xml:space="preserve"> Training datasets will be analyzed for representational gaps across demographic groups such as race, gender, age, and socioeconomic status. Fairness-aware preprocessing techniques, including reweighting and resampling, will be applied to achieve balanced group representation. The preprocessing process and its rationale will be documented for IRB review to ensure the project aligns with ethical principles of equitable performance.</t>
    </r>
  </si>
  <si>
    <r>
      <rPr>
        <b/>
        <sz val="16"/>
        <color theme="1"/>
        <rFont val="Arial"/>
        <family val="2"/>
      </rPr>
      <t xml:space="preserve">Phase 2:
Inequity or fairness: </t>
    </r>
    <r>
      <rPr>
        <sz val="16"/>
        <color theme="1"/>
        <rFont val="Arial"/>
        <family val="2"/>
      </rPr>
      <t>During validation, the model will undergo blinded subgroup performance evaluations against predefined fairness thresholds. Any performance disparities will be logged and presented to an independent oversight body for review. Weekly oversight meetings will be held to determine whether retraining or model adjustment is warranted before progressing to deployment.</t>
    </r>
  </si>
  <si>
    <r>
      <rPr>
        <b/>
        <sz val="16"/>
        <color theme="1"/>
        <rFont val="Arial"/>
        <family val="2"/>
      </rPr>
      <t xml:space="preserve">Phase 3:
Inequity or fairness: </t>
    </r>
    <r>
      <rPr>
        <sz val="16"/>
        <color theme="1"/>
        <rFont val="Arial"/>
        <family val="2"/>
      </rPr>
      <t>In clinical or operational deployment, a continuous fairness monitoring dashboard will track real-time subgroup performance metrics. Disparity reports will be submitted quarterly to the IRB, and model parameters will be adjusted or retrained promptly when performance gaps exceed the established thresholds. The system will remain in active monitoring mode for the entire duration of use to ensure ongoing compliance with fairness goals.</t>
    </r>
  </si>
  <si>
    <r>
      <rPr>
        <b/>
        <sz val="16"/>
        <color theme="1"/>
        <rFont val="Arial"/>
        <family val="2"/>
      </rPr>
      <t xml:space="preserve">Phase 1:
Privacy or confidentiality breach: </t>
    </r>
    <r>
      <rPr>
        <sz val="16"/>
        <color theme="1"/>
        <rFont val="Arial"/>
        <family val="2"/>
      </rPr>
      <t>All training datasets will be de-identified in compliance with HIPAA Safe Harbor standards, with direct identifiers removed and privacy-enhancing techniques such as differential privacy and k-anonymity applied. Data will be stored on secure, access-controlled servers, and detailed data handling procedures will be documented in the IRB protocol. This ensures that the training process minimizes the possibility of re-identification from the outset.</t>
    </r>
  </si>
  <si>
    <r>
      <rPr>
        <b/>
        <sz val="16"/>
        <color theme="1"/>
        <rFont val="Arial"/>
        <family val="2"/>
      </rPr>
      <t xml:space="preserve">Phase 2:
Privacy or confidentiality breach: </t>
    </r>
    <r>
      <rPr>
        <sz val="16"/>
        <color theme="1"/>
        <rFont val="Arial"/>
        <family val="2"/>
      </rPr>
      <t>Data ingestion pipelines will be monitored continuously to detect inadvertent re-identification risks. Security teams will conduct membership inference and red-team testing exercises to attempt re-identification from outputs, with findings logged and reviewed by the oversight committee. Audit logs will be maintained to track any detected sensitive information leakage, and all incidents will be reported to the IRB within predetermined timelines.</t>
    </r>
  </si>
  <si>
    <r>
      <rPr>
        <b/>
        <sz val="16"/>
        <color theme="1"/>
        <rFont val="Arial"/>
        <family val="2"/>
      </rPr>
      <t xml:space="preserve">Phase 3:
Privacy or confidentiality breach:  </t>
    </r>
    <r>
      <rPr>
        <sz val="16"/>
        <color theme="1"/>
        <rFont val="Arial"/>
        <family val="2"/>
      </rPr>
      <t>In deployment, live system logs will be reviewed weekly for evidence of inference or leakage events. Participants will be informed about their right to opt out of data reuse, and output will be limited to the minimum necessary information. Strict access controls will be enforced, and data use will be subject to ongoing IRB oversight, with opt-out mechanisms available at all times.</t>
    </r>
  </si>
  <si>
    <r>
      <rPr>
        <b/>
        <sz val="16"/>
        <color theme="1"/>
        <rFont val="Arial"/>
        <family val="2"/>
      </rPr>
      <t xml:space="preserve">Phase 1:
Data insecurity: </t>
    </r>
    <r>
      <rPr>
        <sz val="16"/>
        <color theme="1"/>
        <rFont val="Arial"/>
        <family val="2"/>
      </rPr>
      <t>Prior to connecting the model to any live systems, comprehensive threat modeling will be conducted to identify potential points of vulnerability. Penetration testing will be performed by internal and external security teams, and results will be documented in the IRB risk assessment section. This phase ensures that security weaknesses are identified and mitigated before further development.</t>
    </r>
  </si>
  <si>
    <r>
      <rPr>
        <b/>
        <sz val="16"/>
        <color theme="1"/>
        <rFont val="Arial"/>
        <family val="2"/>
      </rPr>
      <t xml:space="preserve">Phase 2:
Data insecurity: </t>
    </r>
    <r>
      <rPr>
        <sz val="16"/>
        <color theme="1"/>
        <rFont val="Arial"/>
        <family val="2"/>
      </rPr>
      <t>During validation, the system will be tested against a range of known adversarial attacks in a controlled sandbox environment. Simulated attack scenarios will be documented, along with the system’s response protocols and recovery processes. Findings will be used to refine incident response documentation for IRB review.</t>
    </r>
  </si>
  <si>
    <r>
      <rPr>
        <b/>
        <sz val="16"/>
        <color theme="1"/>
        <rFont val="Arial"/>
        <family val="2"/>
      </rPr>
      <t xml:space="preserve">Phase 3:
Data insecurity:  </t>
    </r>
    <r>
      <rPr>
        <sz val="16"/>
        <color theme="1"/>
        <rFont val="Arial"/>
        <family val="2"/>
      </rPr>
      <t>In the deployment phase, the AI will be hosted on a secure, segmented network with intrusion detection systems actively monitoring for breaches. Rapid rollback procedures and incident response processes will be in place to contain and resolve security incidents immediately. Regular penetration testing will continue post-deployment, with incident summaries submitted to the IRB.</t>
    </r>
  </si>
  <si>
    <r>
      <rPr>
        <b/>
        <sz val="16"/>
        <color theme="1"/>
        <rFont val="Arial"/>
        <family val="2"/>
      </rPr>
      <t>Phase 1:</t>
    </r>
    <r>
      <rPr>
        <sz val="16"/>
        <color theme="1"/>
        <rFont val="Arial"/>
        <family val="2"/>
      </rPr>
      <t xml:space="preserve"> 
</t>
    </r>
    <r>
      <rPr>
        <b/>
        <sz val="16"/>
        <color theme="1"/>
        <rFont val="Arial"/>
        <family val="2"/>
      </rPr>
      <t xml:space="preserve">Inaccurate findings: </t>
    </r>
    <r>
      <rPr>
        <sz val="16"/>
        <color theme="1"/>
        <rFont val="Arial"/>
        <family val="2"/>
      </rPr>
      <t>Training will incorporate factuality constraints and retrieval-augmented generation to ensure the AI references authoritative sources. Outputs will be validated against established, credible datasets, and any discrepancies will trigger retraining or adjustment prior to progressing. All validation results will be recorded in the IRB protocol to demonstrate alignment with accuracy standards.</t>
    </r>
  </si>
  <si>
    <r>
      <rPr>
        <b/>
        <sz val="16"/>
        <color theme="1"/>
        <rFont val="Arial"/>
        <family val="2"/>
      </rPr>
      <t xml:space="preserve">Phase 2:
Inaccurate findings: </t>
    </r>
    <r>
      <rPr>
        <sz val="16"/>
        <color theme="1"/>
        <rFont val="Arial"/>
        <family val="2"/>
      </rPr>
      <t>An independent panel of subject matter experts will review AI outputs during the validation phase, comparing them against current authoritative resources. Discrepancies or factual errors will be logged and analyzed to determine whether corrective retraining is required before deployment.</t>
    </r>
  </si>
  <si>
    <r>
      <rPr>
        <b/>
        <sz val="16"/>
        <color theme="1"/>
        <rFont val="Arial"/>
        <family val="2"/>
      </rPr>
      <t xml:space="preserve">Phase 3:
Inaccurate findings: </t>
    </r>
    <r>
      <rPr>
        <sz val="16"/>
        <color theme="1"/>
        <rFont val="Arial"/>
        <family val="2"/>
      </rPr>
      <t>In deployment, outputs will be accompanied by visible disclaimers and inline citations to support transparency. Users will have access to a “report error” function, and all reported issues will be logged and resolved within a documented turnaround time. Quarterly error trend reports will be submitted to the IRB to ensure accountability.</t>
    </r>
  </si>
  <si>
    <r>
      <rPr>
        <b/>
        <sz val="16"/>
        <color theme="1"/>
        <rFont val="Arial"/>
        <family val="2"/>
      </rPr>
      <t>Phase 1:
Misleading information:</t>
    </r>
    <r>
      <rPr>
        <sz val="16"/>
        <color theme="1"/>
        <rFont val="Arial"/>
        <family val="2"/>
      </rPr>
      <t xml:space="preserve"> All training data will be sourced exclusively from verified, high-quality sources such as peer-reviewed literature, recognized public health datasets, or consensus-based guidelines. Automated data provenance verification will be applied before inclusion in the training corpus, and questionable or unverifiable data will be excluded. This screening process will be documented for IRB review to ensure that the model’s foundations minimize misinformation risks.</t>
    </r>
  </si>
  <si>
    <r>
      <rPr>
        <b/>
        <sz val="16"/>
        <color theme="1"/>
        <rFont val="Arial"/>
        <family val="2"/>
      </rPr>
      <t xml:space="preserve">Phase 2:
Misleading information: </t>
    </r>
    <r>
      <rPr>
        <sz val="16"/>
        <color theme="1"/>
        <rFont val="Arial"/>
        <family val="2"/>
      </rPr>
      <t>During validation, AI outputs will be evaluated for alignment with peer-reviewed or consensus-based sources. Blinded reviewers with domain expertise will rate the credibility and factual accuracy of outputs. Any outputs falling below the agreed credibility threshold will be flagged for corrective action, including targeted retraining.</t>
    </r>
  </si>
  <si>
    <r>
      <rPr>
        <b/>
        <sz val="16"/>
        <color theme="1"/>
        <rFont val="Arial"/>
        <family val="2"/>
      </rPr>
      <t xml:space="preserve">Phase 3:
Misleading information: </t>
    </r>
    <r>
      <rPr>
        <sz val="16"/>
        <color theme="1"/>
        <rFont val="Arial"/>
        <family val="2"/>
      </rPr>
      <t>In deployment, the AI will only be accessible in closed, verified-user systems to limit the risk of misinformation spread. Continuous monitoring will be conducted to detect “narrative drift,” defined as the gradual divergence of outputs from verified information. When drift is detected, recalibration and retraining will be performed immediately, and findings will be reported to the IRB.</t>
    </r>
  </si>
  <si>
    <r>
      <rPr>
        <b/>
        <sz val="16"/>
        <color theme="1"/>
        <rFont val="Arial"/>
        <family val="2"/>
      </rPr>
      <t>Phase 1:
Participant or end-user manipulation:</t>
    </r>
    <r>
      <rPr>
        <sz val="16"/>
        <color theme="1"/>
        <rFont val="Arial"/>
        <family val="2"/>
      </rPr>
      <t xml:space="preserve"> Model training will explicitly exclude political, religious, or other content designed to influence personal beliefs or voting behavior. Embedded safety filters will be applied to block persuasive or manipulative objectives from developing during training. All filter configurations and exclusion criteria will be documented in the IRB protocol.</t>
    </r>
  </si>
  <si>
    <r>
      <rPr>
        <b/>
        <sz val="16"/>
        <color theme="1"/>
        <rFont val="Arial"/>
        <family val="2"/>
      </rPr>
      <t xml:space="preserve">Phase 2:
Participant or end-user manipulation: </t>
    </r>
    <r>
      <rPr>
        <sz val="16"/>
        <color theme="1"/>
        <rFont val="Arial"/>
        <family val="2"/>
      </rPr>
      <t>In the validation phase, adversarial misuse testing will be conducted to evaluate the system’s susceptibility to generating persuasive or manipulative content. An ethics review board will be engaged to evaluate outputs for any undue persuasive capacity.</t>
    </r>
  </si>
  <si>
    <r>
      <rPr>
        <b/>
        <sz val="16"/>
        <color theme="1"/>
        <rFont val="Arial"/>
        <family val="2"/>
      </rPr>
      <t xml:space="preserve">Phase 3:
Participant or end-user manipulation: </t>
    </r>
    <r>
      <rPr>
        <sz val="16"/>
        <color theme="1"/>
        <rFont val="Arial"/>
        <family val="2"/>
      </rPr>
      <t>Upon deployment, safeguards will include mandatory identity verification for users, restrictions on use in political or religious contexts, and real-time misuse monitoring. Any attempts at manipulation will be flagged, blocked, and reported to the IRB and oversight committees.</t>
    </r>
  </si>
  <si>
    <r>
      <rPr>
        <b/>
        <sz val="16"/>
        <color theme="1"/>
        <rFont val="Arial"/>
        <family val="2"/>
      </rPr>
      <t>Phase 1:
Malicious misuse:</t>
    </r>
    <r>
      <rPr>
        <sz val="16"/>
        <color theme="1"/>
        <rFont val="Arial"/>
        <family val="2"/>
      </rPr>
      <t xml:space="preserve"> All hazardous technical content—such as weapon schematics, hacking scripts, or biochemical synthesis instructions—will be identified and excluded from training datasets. Automated classifiers and manual expert review will be applied to block unsafe material at the source. Documentation of filtering methods will be provided to the IRB.</t>
    </r>
  </si>
  <si>
    <r>
      <rPr>
        <b/>
        <sz val="16"/>
        <color theme="1"/>
        <rFont val="Arial"/>
        <family val="2"/>
      </rPr>
      <t xml:space="preserve">Phase 2:
Malicious misuse: </t>
    </r>
    <r>
      <rPr>
        <sz val="16"/>
        <color theme="1"/>
        <rFont val="Arial"/>
        <family val="2"/>
      </rPr>
      <t>The system will undergo simulated misuse testing in a controlled environment to evaluate how it responds to dangerous technical queries. Outputs will be reviewed to ensure harmful content is effectively blocked. Risk mitigation plans, including escalation and reporting protocols, will be formalized and reviewed by the IRB before progression.</t>
    </r>
  </si>
  <si>
    <r>
      <rPr>
        <b/>
        <sz val="16"/>
        <color theme="1"/>
        <rFont val="Arial"/>
        <family val="2"/>
      </rPr>
      <t xml:space="preserve">Phase 3:
Malicious misuse: </t>
    </r>
    <r>
      <rPr>
        <sz val="16"/>
        <color theme="1"/>
        <rFont val="Arial"/>
        <family val="2"/>
      </rPr>
      <t>During deployment, real-time query filtering, keyword blocking, and output suppression will be applied to prevent hazardous content generation. Liaison protocols with law enforcement will be maintained to address confirmed incidents of malicious use.</t>
    </r>
  </si>
  <si>
    <r>
      <rPr>
        <b/>
        <sz val="16"/>
        <color theme="1"/>
        <rFont val="Arial"/>
        <family val="2"/>
      </rPr>
      <t>Phase 1:
Tool involves any form of deception:</t>
    </r>
    <r>
      <rPr>
        <sz val="16"/>
        <color theme="1"/>
        <rFont val="Arial"/>
        <family val="2"/>
      </rPr>
      <t xml:space="preserve"> Training datasets will be screened to remove deceptive or impersonation-enabling patterns, and model capabilities that could facilitate generative impersonation or deepfakes will be disabled at the architectural level. Documentation of these restrictions will be included in the IRB submission.</t>
    </r>
  </si>
  <si>
    <r>
      <rPr>
        <b/>
        <sz val="16"/>
        <color theme="1"/>
        <rFont val="Arial"/>
        <family val="2"/>
      </rPr>
      <t xml:space="preserve">Phase 2:
Tool involves any form of deception: </t>
    </r>
    <r>
      <rPr>
        <sz val="16"/>
        <color theme="1"/>
        <rFont val="Arial"/>
        <family val="2"/>
      </rPr>
      <t>Controlled testing will be conducted to evaluate the AI’s susceptibility to producing fraudulent, scam-related, or impersonation-based content. Any vulnerabilities identified will be reported to the IRB, and mitigation measures will be implemented prior to deployment.</t>
    </r>
  </si>
  <si>
    <r>
      <rPr>
        <b/>
        <sz val="16"/>
        <color theme="1"/>
        <rFont val="Arial"/>
        <family val="2"/>
      </rPr>
      <t xml:space="preserve">Phase 3:
Tool involves any form of deception: </t>
    </r>
    <r>
      <rPr>
        <sz val="16"/>
        <color theme="1"/>
        <rFont val="Arial"/>
        <family val="2"/>
      </rPr>
      <t>Deployment safeguards will include integration with fraud detection APIs, limitations on mass outreach capabilities, and strict restrictions on impersonation-related outputs. Monitoring systems will flag suspicious activity, and incidents will be reported promptly to oversight bodies.</t>
    </r>
  </si>
  <si>
    <r>
      <rPr>
        <b/>
        <sz val="16"/>
        <color theme="1"/>
        <rFont val="Arial"/>
        <family val="2"/>
      </rPr>
      <t xml:space="preserve">Phase 1:
Trusting output without confirmation: </t>
    </r>
    <r>
      <rPr>
        <sz val="16"/>
        <color theme="1"/>
        <rFont val="Arial"/>
        <family val="2"/>
      </rPr>
      <t>Maybe not relevant? The AI will be designed to provide confidence scores and explicit uncertainty statements alongside outputs to encourage critical review by human users. This design choice will be documented in the IRB protocol.</t>
    </r>
  </si>
  <si>
    <r>
      <rPr>
        <b/>
        <sz val="16"/>
        <color theme="1"/>
        <rFont val="Arial"/>
        <family val="2"/>
      </rPr>
      <t>Phase 2:
Trusting output without confirmation:</t>
    </r>
    <r>
      <rPr>
        <sz val="16"/>
        <color theme="1"/>
        <rFont val="Arial"/>
        <family val="2"/>
      </rPr>
      <t xml:space="preserve"> Validation participants will receive targeted orientation and training highlighting the AI system’s limitations, emphasizing that human judgment should take precedence. A human-in-the-loop requirement will be enforced, with override rates tracked as a safety indicator.</t>
    </r>
  </si>
  <si>
    <r>
      <rPr>
        <b/>
        <sz val="16"/>
        <color theme="1"/>
        <rFont val="Arial"/>
        <family val="2"/>
      </rPr>
      <t>Phase 3:
Trusting output without confirmation:</t>
    </r>
    <r>
      <rPr>
        <sz val="16"/>
        <color theme="1"/>
        <rFont val="Arial"/>
        <family val="2"/>
      </rPr>
      <t xml:space="preserve"> Deployment will be staged across three clinical sites, with embedded warnings in the user interface and an integrated incident reporting form. User feedback will be collected continuously, and usage logs will be audited for patterns indicating overreliance. Findings will be reported quarterly to the IRB.</t>
    </r>
  </si>
  <si>
    <r>
      <rPr>
        <b/>
        <sz val="16"/>
        <color theme="1"/>
        <rFont val="Arial"/>
        <family val="2"/>
      </rPr>
      <t>Phase 1:
Respect for person/end-user or participant does not have choice if AI is used:</t>
    </r>
    <r>
      <rPr>
        <sz val="16"/>
        <color theme="1"/>
        <rFont val="Arial"/>
        <family val="2"/>
      </rPr>
      <t xml:space="preserve"> Model outputs will be designed using suggestive rather than directive language to support, rather than replace, human decision-making. This will be documented as part of the model’s design specifications for IRB review.</t>
    </r>
  </si>
  <si>
    <r>
      <rPr>
        <b/>
        <sz val="16"/>
        <color theme="1"/>
        <rFont val="Arial"/>
        <family val="2"/>
      </rPr>
      <t xml:space="preserve">Phase 2:
Respect for person/end-user or participant does not have choice if AI is used: </t>
    </r>
    <r>
      <rPr>
        <sz val="16"/>
        <color theme="1"/>
        <rFont val="Arial"/>
        <family val="2"/>
      </rPr>
      <t>During validation, participant feedback on perceived autonomy will be collected through structured surveys and interviews. Feedback will be incorporated into iterative model refinements to ensure human agency remains central.</t>
    </r>
  </si>
  <si>
    <r>
      <rPr>
        <b/>
        <sz val="16"/>
        <color theme="1"/>
        <rFont val="Arial"/>
        <family val="2"/>
      </rPr>
      <t xml:space="preserve">Phase 3:
Respect for person/end-user or participant does not have choice if AI is used: </t>
    </r>
    <r>
      <rPr>
        <sz val="16"/>
        <color theme="1"/>
        <rFont val="Arial"/>
        <family val="2"/>
      </rPr>
      <t>In deployment, the system will require user consent prompts before initiating any automated action with significant impact. Logs will be maintained to track consent patterns, and results will be shared with the IRB.</t>
    </r>
  </si>
  <si>
    <r>
      <rPr>
        <b/>
        <sz val="16"/>
        <color theme="1"/>
        <rFont val="Arial"/>
        <family val="2"/>
      </rPr>
      <t xml:space="preserve">Phase 1:
Inequity/Unfair advantage: </t>
    </r>
    <r>
      <rPr>
        <sz val="16"/>
        <color theme="1"/>
        <rFont val="Arial"/>
        <family val="2"/>
      </rPr>
      <t>All performance results will be published transparently under data use agreements consistent with equitable access principles. Model and data ownership details will be disclosed to the IRB, and pathways for under-resourced stakeholders to gain access will be documented.</t>
    </r>
  </si>
  <si>
    <r>
      <rPr>
        <b/>
        <sz val="16"/>
        <color theme="1"/>
        <rFont val="Arial"/>
        <family val="2"/>
      </rPr>
      <t xml:space="preserve">Phase 2:
Inequity/Unfair advantage: </t>
    </r>
    <r>
      <rPr>
        <sz val="16"/>
        <color theme="1"/>
        <rFont val="Arial"/>
        <family val="2"/>
      </rPr>
      <t>Possibly the same as Phase 3. Pilot deployments will be evaluated for distributional impacts, with findings publicly shared in alignment with commitments to transparency.</t>
    </r>
  </si>
  <si>
    <r>
      <rPr>
        <b/>
        <sz val="16"/>
        <color theme="1"/>
        <rFont val="Arial"/>
        <family val="2"/>
      </rPr>
      <t xml:space="preserve">Phase 3:
Inequity/Unfair advantage: </t>
    </r>
    <r>
      <rPr>
        <sz val="16"/>
        <color theme="1"/>
        <rFont val="Arial"/>
        <family val="2"/>
      </rPr>
      <t>Post-deployment, benefits and harms to underrepresented groups will be continuously assessed and reported to both the IRB and community partners. Governance boards with community representation will guide decisions on adjustments or redistribution of benefits.</t>
    </r>
  </si>
  <si>
    <r>
      <rPr>
        <b/>
        <sz val="16"/>
        <color theme="1"/>
        <rFont val="Arial"/>
        <family val="2"/>
      </rPr>
      <t>Phase 1:
Inequity/Widening disparities:</t>
    </r>
    <r>
      <rPr>
        <sz val="16"/>
        <color theme="1"/>
        <rFont val="Arial"/>
        <family val="2"/>
      </rPr>
      <t xml:space="preserve"> Automation impact assessments will be conducted during the IRB risk assessment process to forecast potential effects on jobs and work quality. </t>
    </r>
  </si>
  <si>
    <r>
      <rPr>
        <b/>
        <sz val="16"/>
        <color theme="1"/>
        <rFont val="Arial"/>
        <family val="2"/>
      </rPr>
      <t xml:space="preserve">Phase 2:
Inequity/Widening disparities: </t>
    </r>
    <r>
      <rPr>
        <sz val="16"/>
        <color theme="1"/>
        <rFont val="Arial"/>
        <family val="2"/>
      </rPr>
      <t>The model will be piloted in limited settings, with direct feedback from workers on perceived impacts to their job roles, responsibilities, and satisfaction.</t>
    </r>
  </si>
  <si>
    <r>
      <rPr>
        <b/>
        <sz val="16"/>
        <color theme="1"/>
        <rFont val="Arial"/>
        <family val="2"/>
      </rPr>
      <t>Phase 3:
Inequity/Widening disparities:</t>
    </r>
    <r>
      <rPr>
        <sz val="16"/>
        <color theme="1"/>
        <rFont val="Arial"/>
        <family val="2"/>
      </rPr>
      <t xml:space="preserve"> Workforce retraining programs will be implemented before full-scale rollout, and ongoing monitoring will track both displacement and retraining success rates.</t>
    </r>
  </si>
  <si>
    <r>
      <rPr>
        <b/>
        <sz val="16"/>
        <color theme="1"/>
        <rFont val="Arial"/>
        <family val="2"/>
      </rPr>
      <t>Phase 1:
Devaluing or replacing human role:</t>
    </r>
    <r>
      <rPr>
        <sz val="16"/>
        <color theme="1"/>
        <rFont val="Arial"/>
        <family val="2"/>
      </rPr>
      <t xml:space="preserve"> The AI will be designed to augment, not replace, creative and human labor, as documented in the model’s design framework.</t>
    </r>
  </si>
  <si>
    <r>
      <rPr>
        <b/>
        <sz val="16"/>
        <color theme="1"/>
        <rFont val="Arial"/>
        <family val="2"/>
      </rPr>
      <t xml:space="preserve">Phase 2:
Devaluing or replacing human role: </t>
    </r>
    <r>
      <rPr>
        <sz val="16"/>
        <color theme="1"/>
        <rFont val="Arial"/>
        <family val="2"/>
      </rPr>
      <t>Human–AI collaboration workflows will be tested in validation, with participant satisfaction data collected to assess the impact on creative processes.</t>
    </r>
  </si>
  <si>
    <r>
      <rPr>
        <b/>
        <sz val="16"/>
        <color theme="1"/>
        <rFont val="Arial"/>
        <family val="2"/>
      </rPr>
      <t xml:space="preserve">Phase 3:
Devaluing or replacing human role: </t>
    </r>
    <r>
      <rPr>
        <sz val="16"/>
        <color theme="1"/>
        <rFont val="Arial"/>
        <family val="2"/>
      </rPr>
      <t>All AI-generated outputs will be labeled, and economic displacement metrics will be monitored and reported to the IRB.</t>
    </r>
  </si>
  <si>
    <r>
      <rPr>
        <b/>
        <sz val="16"/>
        <color theme="1"/>
        <rFont val="Arial"/>
        <family val="2"/>
      </rPr>
      <t>Phase 1:
Lacking required oversight or failing to adhere to required standards:</t>
    </r>
    <r>
      <rPr>
        <sz val="16"/>
        <color theme="1"/>
        <rFont val="Arial"/>
        <family val="2"/>
      </rPr>
      <t xml:space="preserve"> By providing a clear aim or preliminary intended use of the tool, the required governance structure will be identified prior to model training, and all necessary approvals will have been obtained.</t>
    </r>
  </si>
  <si>
    <r>
      <rPr>
        <b/>
        <sz val="16"/>
        <color theme="1"/>
        <rFont val="Arial"/>
        <family val="2"/>
      </rPr>
      <t xml:space="preserve">Phase 2:
Lacking required oversight or failing to adhere to required standards: </t>
    </r>
    <r>
      <rPr>
        <sz val="16"/>
        <color theme="1"/>
        <rFont val="Arial"/>
        <family val="2"/>
      </rPr>
      <t xml:space="preserve">Mock incident drills will be conducted during validation to assess governance response readiness. </t>
    </r>
  </si>
  <si>
    <r>
      <rPr>
        <b/>
        <sz val="16"/>
        <color theme="1"/>
        <rFont val="Arial"/>
        <family val="2"/>
      </rPr>
      <t xml:space="preserve">Phase 3:
Lacking required oversight or failing to adhere to required standards: </t>
    </r>
    <r>
      <rPr>
        <sz val="16"/>
        <color theme="1"/>
        <rFont val="Arial"/>
        <family val="2"/>
      </rPr>
      <t>Deployment will require periodic third-party audits of governance processes, with findings reported to the IRB.</t>
    </r>
  </si>
  <si>
    <r>
      <rPr>
        <b/>
        <sz val="16"/>
        <color theme="1"/>
        <rFont val="Arial"/>
        <family val="2"/>
      </rPr>
      <t>Phase 1:
AI acting outside human control:</t>
    </r>
    <r>
      <rPr>
        <sz val="16"/>
        <color theme="1"/>
        <rFont val="Arial"/>
        <family val="2"/>
      </rPr>
      <t xml:space="preserve"> The AI will be trained with alignment objectives reinforced through human feedback loops, and self-modifying code will be explicitly prohibited.</t>
    </r>
  </si>
  <si>
    <r>
      <rPr>
        <b/>
        <sz val="16"/>
        <color theme="1"/>
        <rFont val="Arial"/>
        <family val="2"/>
      </rPr>
      <t xml:space="preserve">Phase 2:
AI acting outside human control: </t>
    </r>
    <r>
      <rPr>
        <sz val="16"/>
        <color theme="1"/>
        <rFont val="Arial"/>
        <family val="2"/>
      </rPr>
      <t>Validation will include stress-testing in sandbox environments to detect goal drift under varying conditions.</t>
    </r>
  </si>
  <si>
    <r>
      <rPr>
        <b/>
        <sz val="16"/>
        <color theme="1"/>
        <rFont val="Arial"/>
        <family val="2"/>
      </rPr>
      <t xml:space="preserve">Phase 3:
AI acting outside human control: </t>
    </r>
    <r>
      <rPr>
        <sz val="16"/>
        <color theme="1"/>
        <rFont val="Arial"/>
        <family val="2"/>
      </rPr>
      <t>Continuous alignment monitoring will be implemented in deployment, with a kill-switch mechanism available to halt system operations if drift is detected.</t>
    </r>
  </si>
  <si>
    <r>
      <rPr>
        <b/>
        <sz val="16"/>
        <color theme="1"/>
        <rFont val="Arial"/>
        <family val="2"/>
      </rPr>
      <t>Phase 1:
Mass harm or manipulation:</t>
    </r>
    <r>
      <rPr>
        <sz val="16"/>
        <color theme="1"/>
        <rFont val="Arial"/>
        <family val="2"/>
      </rPr>
      <t xml:space="preserve"> Training datasets will exclude hazardous domains such as bioweapons, cyberwarfare, or other high-risk technical areas.</t>
    </r>
  </si>
  <si>
    <r>
      <rPr>
        <b/>
        <sz val="16"/>
        <color theme="1"/>
        <rFont val="Arial"/>
        <family val="2"/>
      </rPr>
      <t xml:space="preserve">Phase 2:
Mass harm or manipulation: </t>
    </r>
    <r>
      <rPr>
        <sz val="16"/>
        <color theme="1"/>
        <rFont val="Arial"/>
        <family val="2"/>
      </rPr>
      <t>Misuse scenario testing will be performed with specialized red teams to evaluate model responses.</t>
    </r>
  </si>
  <si>
    <r>
      <rPr>
        <b/>
        <sz val="16"/>
        <color theme="1"/>
        <rFont val="Arial"/>
        <family val="2"/>
      </rPr>
      <t>Phase 3:
Mass harm or manipulation:</t>
    </r>
    <r>
      <rPr>
        <sz val="16"/>
        <color theme="1"/>
        <rFont val="Arial"/>
        <family val="2"/>
      </rPr>
      <t xml:space="preserve"> Deployment will be limited to restricted environments with tiered access controls to prevent unauthorized use.</t>
    </r>
  </si>
  <si>
    <r>
      <rPr>
        <b/>
        <sz val="16"/>
        <color theme="1"/>
        <rFont val="Arial"/>
        <family val="2"/>
      </rPr>
      <t>Phase 1:
Unreliable system or performance:</t>
    </r>
    <r>
      <rPr>
        <sz val="16"/>
        <color theme="1"/>
        <rFont val="Arial"/>
        <family val="2"/>
      </rPr>
      <t xml:space="preserve"> Rigorous unit testing and edge-case evaluations will be performed during training to ensure model reliability across scenarios.</t>
    </r>
  </si>
  <si>
    <r>
      <rPr>
        <b/>
        <sz val="16"/>
        <color theme="1"/>
        <rFont val="Arial"/>
        <family val="2"/>
      </rPr>
      <t xml:space="preserve">Phase 2:
Unreliable system or performance: </t>
    </r>
    <r>
      <rPr>
        <sz val="16"/>
        <color theme="1"/>
        <rFont val="Arial"/>
        <family val="2"/>
      </rPr>
      <t>Stress testing with out-of-distribution data will be conducted to evaluate resilience.</t>
    </r>
  </si>
  <si>
    <r>
      <rPr>
        <b/>
        <sz val="16"/>
        <color theme="1"/>
        <rFont val="Arial"/>
        <family val="2"/>
      </rPr>
      <t xml:space="preserve">Phase 3:
Unreliable system or performance </t>
    </r>
    <r>
      <rPr>
        <sz val="16"/>
        <color theme="1"/>
        <rFont val="Arial"/>
        <family val="2"/>
      </rPr>
      <t>Post-deployment, live performance metrics will be monitored continuously, with rollback protocols in place for significant failures.</t>
    </r>
  </si>
  <si>
    <r>
      <rPr>
        <b/>
        <sz val="16"/>
        <color theme="1"/>
        <rFont val="Arial"/>
        <family val="2"/>
      </rPr>
      <t xml:space="preserve">Phase 1:
Transparency/Interpretability: </t>
    </r>
    <r>
      <rPr>
        <sz val="16"/>
        <color theme="1"/>
        <rFont val="Arial"/>
        <family val="2"/>
      </rPr>
      <t>Interpretable model architectures will be prioritized, with feature importance maps and explainability modules integrated into design. Design documentation will include rationale for all parameters.</t>
    </r>
  </si>
  <si>
    <r>
      <rPr>
        <b/>
        <sz val="16"/>
        <color theme="1"/>
        <rFont val="Arial"/>
        <family val="2"/>
      </rPr>
      <t xml:space="preserve">Phase 2:
Transparency/Interpretability: </t>
    </r>
    <r>
      <rPr>
        <sz val="16"/>
        <color theme="1"/>
        <rFont val="Arial"/>
        <family val="2"/>
      </rPr>
      <t>Model explanations will be shared with clinicians and end-users for validation prior to use. User studies will assess clarity and audience-appropriate explanations.</t>
    </r>
  </si>
  <si>
    <r>
      <rPr>
        <b/>
        <sz val="16"/>
        <color theme="1"/>
        <rFont val="Arial"/>
        <family val="2"/>
      </rPr>
      <t xml:space="preserve">Phase 3:
Transparency/Interpretability: </t>
    </r>
    <r>
      <rPr>
        <sz val="16"/>
        <color theme="1"/>
        <rFont val="Arial"/>
        <family val="2"/>
      </rPr>
      <t xml:space="preserve">Participants will be informed when AI is used and will be provided lay-language explanations. Documentation of reasoning pathways will be available to both end users and the IRB.
</t>
    </r>
    <r>
      <rPr>
        <b/>
        <i/>
        <sz val="16"/>
        <color theme="1"/>
        <rFont val="Arial"/>
        <family val="2"/>
      </rPr>
      <t xml:space="preserve">Note: </t>
    </r>
    <r>
      <rPr>
        <i/>
        <sz val="16"/>
        <color theme="1"/>
        <rFont val="Arial"/>
        <family val="2"/>
      </rPr>
      <t>ISO requires persons using shall have knowledge of an experience with the tool and its use; and appropriate records shall be maintained.</t>
    </r>
  </si>
  <si>
    <r>
      <rPr>
        <b/>
        <sz val="16"/>
        <color theme="1"/>
        <rFont val="Arial"/>
        <family val="2"/>
      </rPr>
      <t>Phase 1:</t>
    </r>
    <r>
      <rPr>
        <sz val="16"/>
        <color theme="1"/>
        <rFont val="Arial"/>
        <family val="2"/>
      </rPr>
      <t xml:space="preserve"> 
</t>
    </r>
    <r>
      <rPr>
        <b/>
        <i/>
        <sz val="16"/>
        <color theme="1"/>
        <rFont val="Arial"/>
        <family val="2"/>
      </rPr>
      <t xml:space="preserve">Multi-agent risks: </t>
    </r>
    <r>
      <rPr>
        <sz val="16"/>
        <color theme="1"/>
        <rFont val="Arial"/>
        <family val="2"/>
      </rPr>
      <t>Before using the AI in real settings, we will test how multiple AI systems interact with each other in controlled environments. These tests will help identify and prevent any unexpected harmful behaviors before real human participants or end-users are exposed.</t>
    </r>
  </si>
  <si>
    <r>
      <t>Phase 2: 
Multi-agent risks:</t>
    </r>
    <r>
      <rPr>
        <sz val="16"/>
        <color theme="1"/>
        <rFont val="Arial"/>
        <family val="2"/>
      </rPr>
      <t xml:space="preserve"> Validation will include conducting monitored pilot studies were AI systems interact under supervision, with clear safety controls to stop harmful behaviors if they appear. </t>
    </r>
  </si>
  <si>
    <r>
      <rPr>
        <b/>
        <sz val="16"/>
        <color theme="1"/>
        <rFont val="Arial"/>
        <family val="2"/>
      </rPr>
      <t xml:space="preserve">Phase 3:
Multi-agent risks: </t>
    </r>
    <r>
      <rPr>
        <sz val="16"/>
        <color theme="1"/>
        <rFont val="Arial"/>
        <family val="2"/>
      </rPr>
      <t>We will closely monitor how AI systems interact with each other in real-world use. Communications between systems will be limited, and any unusual or unsafe behavior will be logged and reported (e.g., one AI system might scan x-rays for signs of cancer while the other AI system recommends treatment options. If they interact without proper monitoring, the treatment AI might act on an error from the x-ray AI leading to patient harm).</t>
    </r>
  </si>
  <si>
    <r>
      <rPr>
        <b/>
        <sz val="16"/>
        <color theme="1"/>
        <rFont val="Arial"/>
        <family val="2"/>
      </rPr>
      <t xml:space="preserve">Biased Results or Misrepresentation: 
</t>
    </r>
    <r>
      <rPr>
        <sz val="16"/>
        <color theme="1"/>
        <rFont val="Arial"/>
        <family val="2"/>
      </rPr>
      <t xml:space="preserve">Please report the demographics of your training dataset and note any known gaps or limitations [PHASE 1].
Please describe how you will evaluate potential bias in the dataset before model training [PHASE 1].
Please describe how you will evaluate potential bias in the dataset before model training [PHASE 1].
Your training data may be biased. Please add your plan for checking and reducing bias so that no group is unfairly treated [PHASE 2 &amp; 3].
Please explain how you will check that AI does not unfairly harm or exclude marginalized groups [PHASE 3].
</t>
    </r>
  </si>
  <si>
    <r>
      <rPr>
        <b/>
        <sz val="16"/>
        <color theme="1"/>
        <rFont val="Arial"/>
        <family val="2"/>
      </rPr>
      <t>Unfair discrimination and misrepresentation (1.1)</t>
    </r>
    <r>
      <rPr>
        <sz val="16"/>
        <color theme="1"/>
        <rFont val="Arial"/>
        <family val="2"/>
      </rPr>
      <t xml:space="preserve">
45 CFR 46.111(a)(3) – equitable subject selection; 
21 CFR 56.111(a)(3)</t>
    </r>
  </si>
  <si>
    <r>
      <rPr>
        <b/>
        <sz val="16"/>
        <color theme="1"/>
        <rFont val="Arial"/>
        <family val="2"/>
      </rPr>
      <t>Board Structure &amp; Oversight (1.1)</t>
    </r>
    <r>
      <rPr>
        <sz val="16"/>
        <color theme="1"/>
        <rFont val="Arial"/>
        <family val="2"/>
      </rPr>
      <t xml:space="preserve">
</t>
    </r>
  </si>
  <si>
    <r>
      <rPr>
        <b/>
        <sz val="16"/>
        <color theme="1"/>
        <rFont val="Arial"/>
        <family val="2"/>
      </rPr>
      <t>Phase 1:</t>
    </r>
    <r>
      <rPr>
        <sz val="16"/>
        <color theme="1"/>
        <rFont val="Arial"/>
        <family val="2"/>
      </rPr>
      <t xml:space="preserve">
</t>
    </r>
    <r>
      <rPr>
        <b/>
        <sz val="16"/>
        <color theme="1"/>
        <rFont val="Arial"/>
        <family val="2"/>
      </rPr>
      <t xml:space="preserve">Biased results or misrepresentation: </t>
    </r>
    <r>
      <rPr>
        <sz val="16"/>
        <color theme="1"/>
        <rFont val="Arial"/>
        <family val="2"/>
      </rPr>
      <t>This project will train a predictive model using medical records. The data will be deidentified prior to training and analysis. To reduce bias, we will sort training data by race, gender, and age, then check performance across these groups. The model will not be used for patient care. We will run bias tests on retrospective datasets to make sure results are fair.</t>
    </r>
  </si>
  <si>
    <r>
      <rPr>
        <b/>
        <sz val="16"/>
        <color theme="1"/>
        <rFont val="Arial"/>
        <family val="2"/>
      </rPr>
      <t>Exposure to toxic content (1.2)</t>
    </r>
    <r>
      <rPr>
        <sz val="16"/>
        <color theme="1"/>
        <rFont val="Arial"/>
        <family val="2"/>
      </rPr>
      <t xml:space="preserve">
45 CFR 46.111(a)(1) – minimize risks; 46.111(a)(2) – reasonable risk-benefit; 
21 CFR 56.111</t>
    </r>
  </si>
  <si>
    <r>
      <rPr>
        <b/>
        <sz val="16"/>
        <color theme="1"/>
        <rFont val="Arial"/>
        <family val="2"/>
      </rPr>
      <t>Phase 1:
Harmful content exposure:</t>
    </r>
    <r>
      <rPr>
        <sz val="16"/>
        <color theme="1"/>
        <rFont val="Arial"/>
        <family val="2"/>
      </rPr>
      <t xml:space="preserve"> During model development, we will remove harmful or graphic material from training data. Both computer filters and human review will be used, and the process will be documented for the IRB. The goal at this stage is to keep the AI from learning toxic or unsafe content.</t>
    </r>
  </si>
  <si>
    <r>
      <rPr>
        <b/>
        <sz val="16"/>
        <color theme="1"/>
        <rFont val="Arial"/>
        <family val="2"/>
      </rPr>
      <t>Unequal performance across groups (1.3)</t>
    </r>
    <r>
      <rPr>
        <sz val="16"/>
        <color theme="1"/>
        <rFont val="Arial"/>
        <family val="2"/>
      </rPr>
      <t xml:space="preserve">
45 CFR 46.111(a)(3) &amp; (a)(4)</t>
    </r>
  </si>
  <si>
    <r>
      <rPr>
        <b/>
        <sz val="16"/>
        <color theme="1"/>
        <rFont val="Arial"/>
        <family val="2"/>
      </rPr>
      <t>Conflict of Interest Protections (1.3)</t>
    </r>
    <r>
      <rPr>
        <sz val="16"/>
        <color theme="1"/>
        <rFont val="Arial"/>
        <family val="2"/>
      </rPr>
      <t xml:space="preserve">
</t>
    </r>
  </si>
  <si>
    <r>
      <rPr>
        <b/>
        <sz val="16"/>
        <color theme="1"/>
        <rFont val="Arial"/>
        <family val="2"/>
      </rPr>
      <t>Phase 1:
Inequity or fairness:</t>
    </r>
    <r>
      <rPr>
        <sz val="16"/>
        <color theme="1"/>
        <rFont val="Arial"/>
        <family val="2"/>
      </rPr>
      <t xml:space="preserve"> Training data will be checked for gaps across race, gender, age, and socioeconomic status. If needed, we will rebalance the data so all groups are represented fairly. </t>
    </r>
  </si>
  <si>
    <r>
      <rPr>
        <b/>
        <sz val="16"/>
        <color theme="1"/>
        <rFont val="Arial"/>
        <family val="2"/>
      </rPr>
      <t>Compromise of privacy by leaking or correctly inferring sensitive information (2.1)</t>
    </r>
    <r>
      <rPr>
        <sz val="16"/>
        <color theme="1"/>
        <rFont val="Arial"/>
        <family val="2"/>
      </rPr>
      <t xml:space="preserve">
45 CFR 46.111(a)(7) – confidentiality; 
21 CFR 812.38; 21 CFR 820.30(g)
</t>
    </r>
  </si>
  <si>
    <r>
      <rPr>
        <b/>
        <sz val="16"/>
        <color theme="1"/>
        <rFont val="Arial"/>
        <family val="2"/>
      </rPr>
      <t xml:space="preserve">Phase 1:
Privacy or confidentiality breach: </t>
    </r>
    <r>
      <rPr>
        <sz val="16"/>
        <color theme="1"/>
        <rFont val="Arial"/>
        <family val="2"/>
      </rPr>
      <t>All training datasets will be de-identified to meet HIPAA Safe Harbor standards. We will remove direct identifiers and indirect identifiers (zipcode, any element of a date, etc.) and use privacy tools like differential privacy. Data will be stored securely, access-controlled servers, only study team members approved on the IRB protocol will have access to the data. If external sharing is anticipated, the IRB will be informed and a proper Data Use Agreement will be executed prior to sharing/receiving data.</t>
    </r>
  </si>
  <si>
    <r>
      <rPr>
        <b/>
        <sz val="16"/>
        <color theme="1"/>
        <rFont val="Arial"/>
        <family val="2"/>
      </rPr>
      <t>AI system security vulnerabilities and attacks (2.2)</t>
    </r>
    <r>
      <rPr>
        <sz val="16"/>
        <color theme="1"/>
        <rFont val="Arial"/>
        <family val="2"/>
      </rPr>
      <t xml:space="preserve">
21 CFR 820.100 – Corrective &amp; Preventive Actions (CAPA); 21 CFR 820.30(g) – Design Validation</t>
    </r>
  </si>
  <si>
    <r>
      <rPr>
        <b/>
        <sz val="16"/>
        <color theme="1"/>
        <rFont val="Arial"/>
        <family val="2"/>
      </rPr>
      <t xml:space="preserve">Phase 1:
Data insecurity: </t>
    </r>
    <r>
      <rPr>
        <sz val="16"/>
        <color theme="1"/>
        <rFont val="Arial"/>
        <family val="2"/>
      </rPr>
      <t>Before connecting the model to any live systems, we will run security checks to find weeknesses. Internal and external teams will test the system (penetration testing). Results will be included in the IRB Risk assessment.</t>
    </r>
  </si>
  <si>
    <r>
      <rPr>
        <b/>
        <sz val="16"/>
        <color theme="1"/>
        <rFont val="Arial"/>
        <family val="2"/>
      </rPr>
      <t>False or misleading information (3.1)</t>
    </r>
    <r>
      <rPr>
        <sz val="16"/>
        <color theme="1"/>
        <rFont val="Arial"/>
        <family val="2"/>
      </rPr>
      <t xml:space="preserve">
45 CFR 46.116 – informed consent accuracy; 21 CFR 50.20</t>
    </r>
  </si>
  <si>
    <r>
      <rPr>
        <b/>
        <sz val="16"/>
        <color theme="1"/>
        <rFont val="Arial"/>
        <family val="2"/>
      </rPr>
      <t>Phase 1:</t>
    </r>
    <r>
      <rPr>
        <sz val="16"/>
        <color theme="1"/>
        <rFont val="Arial"/>
        <family val="2"/>
      </rPr>
      <t xml:space="preserve"> 
</t>
    </r>
    <r>
      <rPr>
        <b/>
        <sz val="16"/>
        <color theme="1"/>
        <rFont val="Arial"/>
        <family val="2"/>
      </rPr>
      <t xml:space="preserve">Inaccurate findings: </t>
    </r>
    <r>
      <rPr>
        <sz val="16"/>
        <color theme="1"/>
        <rFont val="Arial"/>
        <family val="2"/>
      </rPr>
      <t>The AI will be designed to reference trusted sources. Outputs will be compared to reliable datasets, and errors will lead to retraining or adjustements. All validation results will be reported to the IRB annually.</t>
    </r>
  </si>
  <si>
    <r>
      <rPr>
        <b/>
        <sz val="16"/>
        <color theme="1"/>
        <rFont val="Arial"/>
        <family val="2"/>
      </rPr>
      <t>Pollution of information ecosystem and loss of consensus reality (3.2)</t>
    </r>
    <r>
      <rPr>
        <sz val="16"/>
        <color theme="1"/>
        <rFont val="Arial"/>
        <family val="2"/>
      </rPr>
      <t xml:space="preserve">
45 CFR 46.111(a)(1) &amp; (a)(2)</t>
    </r>
  </si>
  <si>
    <r>
      <rPr>
        <b/>
        <sz val="16"/>
        <color theme="1"/>
        <rFont val="Arial"/>
        <family val="2"/>
      </rPr>
      <t>Phase 1:
Misleading information:</t>
    </r>
    <r>
      <rPr>
        <sz val="16"/>
        <color theme="1"/>
        <rFont val="Arial"/>
        <family val="2"/>
      </rPr>
      <t xml:space="preserve"> Training data will only come from verified sources (e.g., authorized medical/employee/student record) and/or peer-reviewed studies with permission (these studies will be listed in the IRB protocol); public health datasets, or official guidelines. Automated tools will check data quality, and any suspicious data will be excluded. </t>
    </r>
  </si>
  <si>
    <r>
      <rPr>
        <b/>
        <sz val="16"/>
        <color theme="1"/>
        <rFont val="Arial"/>
        <family val="2"/>
      </rPr>
      <t>Disinformation, surveillance, and influence at scale (4.1)</t>
    </r>
    <r>
      <rPr>
        <sz val="16"/>
        <color theme="1"/>
        <rFont val="Arial"/>
        <family val="2"/>
      </rPr>
      <t xml:space="preserve">
45 CFR 46.111(b) – additional safeguards for vulnerable groups</t>
    </r>
  </si>
  <si>
    <r>
      <rPr>
        <b/>
        <sz val="16"/>
        <color theme="1"/>
        <rFont val="Arial"/>
        <family val="2"/>
      </rPr>
      <t>Phase 1:
Participant or end-user manipulation:</t>
    </r>
    <r>
      <rPr>
        <sz val="16"/>
        <color theme="1"/>
        <rFont val="Arial"/>
        <family val="2"/>
      </rPr>
      <t xml:space="preserve"> Training will not include political, religious, or content designed to influence beliefs or voting. Safety filters and/or appropriate prompts will be added to block manipulative patterns. These filters will be documented in the IRB protocol. </t>
    </r>
  </si>
  <si>
    <r>
      <rPr>
        <b/>
        <sz val="16"/>
        <color theme="1"/>
        <rFont val="Arial"/>
        <family val="2"/>
      </rPr>
      <t>Phase 1:
Malicious misuse:</t>
    </r>
    <r>
      <rPr>
        <sz val="16"/>
        <color theme="1"/>
        <rFont val="Arial"/>
        <family val="2"/>
      </rPr>
      <t xml:space="preserve"> Dangerous content like weapon instructions, hacking guides, or chemical recipes will be removed. Both automated filters and expert review will be used, and the methods summarized to the IRB.</t>
    </r>
  </si>
  <si>
    <r>
      <rPr>
        <b/>
        <sz val="16"/>
        <color theme="1"/>
        <rFont val="Arial"/>
        <family val="2"/>
      </rPr>
      <t>Fraud, scams, and targeted manipulation (4.3)</t>
    </r>
    <r>
      <rPr>
        <sz val="16"/>
        <color theme="1"/>
        <rFont val="Arial"/>
        <family val="2"/>
      </rPr>
      <t xml:space="preserve">
45 CFR 46.116 &amp; 21 CFR 50.20</t>
    </r>
  </si>
  <si>
    <r>
      <rPr>
        <b/>
        <sz val="16"/>
        <color theme="1"/>
        <rFont val="Arial"/>
        <family val="2"/>
      </rPr>
      <t>Phase 1:
Tool involves any form of deception:</t>
    </r>
    <r>
      <rPr>
        <sz val="16"/>
        <color theme="1"/>
        <rFont val="Arial"/>
        <family val="2"/>
      </rPr>
      <t xml:space="preserve"> Training data will be screened to block impersonation risks. Features that could create deepfakes will be disabled. These safeguards will be briefly described in the IRB Protocol.</t>
    </r>
  </si>
  <si>
    <r>
      <rPr>
        <b/>
        <sz val="16"/>
        <color theme="1"/>
        <rFont val="Arial"/>
        <family val="2"/>
      </rPr>
      <t>Overreliance and unsafe use (5.1)</t>
    </r>
    <r>
      <rPr>
        <sz val="16"/>
        <color theme="1"/>
        <rFont val="Arial"/>
        <family val="2"/>
      </rPr>
      <t xml:space="preserve">
21 CFR 812.30(b)(4) – risk/benefit analysis; 820.70 – production/process controls</t>
    </r>
  </si>
  <si>
    <r>
      <rPr>
        <b/>
        <sz val="16"/>
        <color theme="1"/>
        <rFont val="Arial"/>
        <family val="2"/>
      </rPr>
      <t xml:space="preserve">Phase 1:
Trusting output without confirmation: </t>
    </r>
    <r>
      <rPr>
        <sz val="16"/>
        <color theme="1"/>
        <rFont val="Arial"/>
        <family val="2"/>
      </rPr>
      <t>Maybe not relevant? The AI will show confidence scores and uncertainty statements with outputs. This is to help users think critically. The design will be documented in the IRB protocol.</t>
    </r>
  </si>
  <si>
    <r>
      <rPr>
        <b/>
        <sz val="16"/>
        <color theme="1"/>
        <rFont val="Arial"/>
        <family val="2"/>
      </rPr>
      <t>Loss of human agency and autonomy (5.2)</t>
    </r>
    <r>
      <rPr>
        <sz val="16"/>
        <color theme="1"/>
        <rFont val="Arial"/>
        <family val="2"/>
      </rPr>
      <t xml:space="preserve">
45 CFR 46.116(a)(8) – consent can be withdrawn anytime</t>
    </r>
  </si>
  <si>
    <r>
      <rPr>
        <b/>
        <sz val="16"/>
        <color theme="1"/>
        <rFont val="Arial"/>
        <family val="2"/>
      </rPr>
      <t>Phase 1:
Respect for person/end-user or participant does not have choice if AI is used:</t>
    </r>
    <r>
      <rPr>
        <sz val="16"/>
        <color theme="1"/>
        <rFont val="Arial"/>
        <family val="2"/>
      </rPr>
      <t xml:space="preserve"> Model outputs will be written in suggestive - not directive - language. The AI is meant to support, not replace, human decision-making. This expected interaction and actions to be taken with the AI will be documented in the IRB protocol. The system will not be designed for human reliance.</t>
    </r>
  </si>
  <si>
    <r>
      <rPr>
        <b/>
        <sz val="16"/>
        <color theme="1"/>
        <rFont val="Arial"/>
        <family val="2"/>
      </rPr>
      <t>Power centralization and unfair distribution of benefits (6.1)</t>
    </r>
    <r>
      <rPr>
        <sz val="16"/>
        <color theme="1"/>
        <rFont val="Arial"/>
        <family val="2"/>
      </rPr>
      <t xml:space="preserve">
45 CFR 46.111(a)(3)</t>
    </r>
  </si>
  <si>
    <r>
      <rPr>
        <b/>
        <sz val="16"/>
        <color theme="1"/>
        <rFont val="Arial"/>
        <family val="2"/>
      </rPr>
      <t xml:space="preserve">Phase 1:
Inequity/Unfair advantage: </t>
    </r>
    <r>
      <rPr>
        <sz val="16"/>
        <color theme="1"/>
        <rFont val="Arial"/>
        <family val="2"/>
      </rPr>
      <t xml:space="preserve">Performance results will be shared under data use agreements. Model and data ownership will be explained to the IRB, and access for under-resourced groups will be documented. </t>
    </r>
  </si>
  <si>
    <r>
      <rPr>
        <b/>
        <sz val="16"/>
        <color theme="1"/>
        <rFont val="Arial"/>
        <family val="2"/>
      </rPr>
      <t>Phase 1:
Inequity/Widening disparities:</t>
    </r>
    <r>
      <rPr>
        <sz val="16"/>
        <color theme="1"/>
        <rFont val="Arial"/>
        <family val="2"/>
      </rPr>
      <t xml:space="preserve"> We will study how automation might affect jobs and work quality. This review will be included in the IRB protocol for a risk assessment.</t>
    </r>
  </si>
  <si>
    <r>
      <rPr>
        <b/>
        <sz val="16"/>
        <color theme="1"/>
        <rFont val="Arial"/>
        <family val="2"/>
      </rPr>
      <t>Phase 1:
Devaluing or replacing human role:</t>
    </r>
    <r>
      <rPr>
        <sz val="16"/>
        <color theme="1"/>
        <rFont val="Arial"/>
        <family val="2"/>
      </rPr>
      <t xml:space="preserve"> The AI will be designed to support, not replace, human and creative work. This will be documented in the model's design and IRB protocol.</t>
    </r>
  </si>
  <si>
    <r>
      <rPr>
        <b/>
        <sz val="16"/>
        <color theme="1"/>
        <rFont val="Arial"/>
        <family val="2"/>
      </rPr>
      <t>Phase 1:
AI acting outside human control:</t>
    </r>
    <r>
      <rPr>
        <sz val="16"/>
        <color theme="1"/>
        <rFont val="Arial"/>
        <family val="2"/>
      </rPr>
      <t xml:space="preserve"> The AI will be trained using feedback from people. Self-modifying code will not be allowed.</t>
    </r>
  </si>
  <si>
    <r>
      <rPr>
        <b/>
        <sz val="16"/>
        <color theme="1"/>
        <rFont val="Arial"/>
        <family val="2"/>
      </rPr>
      <t>Environmental harm (6.6)</t>
    </r>
    <r>
      <rPr>
        <sz val="16"/>
        <color theme="1"/>
        <rFont val="Arial"/>
        <family val="2"/>
      </rPr>
      <t xml:space="preserve">
45 CFR 46.111(a)(1) – minimize all foreseeable risks</t>
    </r>
  </si>
  <si>
    <r>
      <rPr>
        <b/>
        <sz val="16"/>
        <color theme="1"/>
        <rFont val="Arial"/>
        <family val="2"/>
      </rPr>
      <t>Phase 1:
Mass harm or manipulation:</t>
    </r>
    <r>
      <rPr>
        <sz val="16"/>
        <color theme="1"/>
        <rFont val="Arial"/>
        <family val="2"/>
      </rPr>
      <t xml:space="preserve"> Training data will not include dangerous areas like bioweapons, cyberwarfare, or similar high-risk topics.</t>
    </r>
  </si>
  <si>
    <r>
      <rPr>
        <b/>
        <sz val="16"/>
        <color theme="1"/>
        <rFont val="Arial"/>
        <family val="2"/>
      </rPr>
      <t xml:space="preserve">Risk Diclosure (4.2)
</t>
    </r>
    <r>
      <rPr>
        <sz val="16"/>
        <color theme="1"/>
        <rFont val="Arial"/>
        <family val="2"/>
      </rPr>
      <t xml:space="preserve">
45 CFR 46.116 – informed consent</t>
    </r>
  </si>
  <si>
    <r>
      <rPr>
        <b/>
        <sz val="16"/>
        <color theme="1"/>
        <rFont val="Arial"/>
        <family val="2"/>
      </rPr>
      <t>Phase 1:
Unreliable system or performance:</t>
    </r>
    <r>
      <rPr>
        <sz val="16"/>
        <color theme="1"/>
        <rFont val="Arial"/>
        <family val="2"/>
      </rPr>
      <t xml:space="preserve"> The model will go through strict testing, including edge cases, to make sure it worlks reliably in many situations.</t>
    </r>
  </si>
  <si>
    <r>
      <rPr>
        <b/>
        <sz val="16"/>
        <color theme="1"/>
        <rFont val="Arial"/>
        <family val="2"/>
      </rPr>
      <t xml:space="preserve">Phase 1:
Transparency/Interpretability: </t>
    </r>
    <r>
      <rPr>
        <sz val="16"/>
        <color theme="1"/>
        <rFont val="Arial"/>
        <family val="2"/>
      </rPr>
      <t>The AI will use transparent designs with tools like feature maps to explain results. The reasons for design choices (parameters) will be documented.</t>
    </r>
  </si>
  <si>
    <r>
      <rPr>
        <b/>
        <sz val="16"/>
        <color theme="1"/>
        <rFont val="Arial"/>
        <family val="2"/>
      </rPr>
      <t>Lack of transparency or interpretability (7.4)</t>
    </r>
    <r>
      <rPr>
        <sz val="16"/>
        <color theme="1"/>
        <rFont val="Arial"/>
        <family val="2"/>
      </rPr>
      <t xml:space="preserve">
45 CFR 46.116(a)(4) – adequate explanation in consent; 21 CFR 50.20</t>
    </r>
  </si>
  <si>
    <r>
      <rPr>
        <b/>
        <sz val="16"/>
        <color theme="1"/>
        <rFont val="Arial"/>
        <family val="2"/>
      </rPr>
      <t xml:space="preserve">Phase 2:
Biased results or misrepresentation: </t>
    </r>
    <r>
      <rPr>
        <sz val="16"/>
        <color theme="1"/>
        <rFont val="Arial"/>
        <family val="2"/>
      </rPr>
      <t xml:space="preserve">We will validate the AI model on prospectively collected data. During this stage, clinicians will review AI-generated outputs alongside their standard workflows but will not rely on them for clinical decisions. A formal testing and auditing protocol has been established to assess subgroup accuracy, data leakage risk, and overfitting. Any potential harms or errors will be logged and reviewed weekly by the study team. </t>
    </r>
    <r>
      <rPr>
        <b/>
        <sz val="16"/>
        <color theme="1"/>
        <rFont val="Arial"/>
        <family val="2"/>
      </rPr>
      <t>No data will be entered into the medical record.</t>
    </r>
    <r>
      <rPr>
        <sz val="16"/>
        <color theme="1"/>
        <rFont val="Arial"/>
        <family val="2"/>
      </rPr>
      <t xml:space="preserve"> Prospective validation will include subgroup performance audits with fairness thresholds.</t>
    </r>
  </si>
  <si>
    <r>
      <rPr>
        <b/>
        <sz val="16"/>
        <color theme="1"/>
        <rFont val="Arial"/>
        <family val="2"/>
      </rPr>
      <t xml:space="preserve">Phase 2:
Harmful content exposure: </t>
    </r>
    <r>
      <rPr>
        <sz val="16"/>
        <color theme="1"/>
        <rFont val="Arial"/>
        <family val="2"/>
      </rPr>
      <t>The AI will run in a safe, controlled off-line setting (away from medical records or participant records of any type). Filters will catch harmful content, which will then be reviewed by a human oversight panel. Participants will be told about possible exposure and may leave at amy time if they feel uncomfortable. Incident reports will be logged as they occur and audited weekly by the sudy team.</t>
    </r>
  </si>
  <si>
    <r>
      <rPr>
        <b/>
        <sz val="16"/>
        <color theme="1"/>
        <rFont val="Arial"/>
        <family val="2"/>
      </rPr>
      <t>Multi-agent risks (7.6)</t>
    </r>
    <r>
      <rPr>
        <sz val="16"/>
        <color theme="1"/>
        <rFont val="Arial"/>
        <family val="2"/>
      </rPr>
      <t xml:space="preserve">
45 CFR 46.111(a)(1) – minimize risks from study design</t>
    </r>
  </si>
  <si>
    <r>
      <rPr>
        <b/>
        <sz val="16"/>
        <color theme="1"/>
        <rFont val="Arial"/>
        <family val="2"/>
      </rPr>
      <t xml:space="preserve">Phase 2:
Inequity or fairness: </t>
    </r>
    <r>
      <rPr>
        <sz val="16"/>
        <color theme="1"/>
        <rFont val="Arial"/>
        <family val="2"/>
      </rPr>
      <t>The model will be tested in "blinded" subgroup evaluations. Any gaps in performance between groups will be flagged nd shared with an independent oversight team. Weekly meetings will decide if retraining or adjustments are needed before moving forward (moving into live deployment).</t>
    </r>
  </si>
  <si>
    <r>
      <rPr>
        <b/>
        <sz val="16"/>
        <color theme="1"/>
        <rFont val="Arial"/>
        <family val="2"/>
      </rPr>
      <t xml:space="preserve">Phase 2:
Privacy or confidentiality breach: </t>
    </r>
    <r>
      <rPr>
        <sz val="16"/>
        <color theme="1"/>
        <rFont val="Arial"/>
        <family val="2"/>
      </rPr>
      <t>Phase 1 protections carry over. In addition, data pipelines will be monitored to prevent re-identification risks. Security teams will run tests to see if data can be traced back to individuals. Logs will track any risks, which will be reported to the IRB as required.</t>
    </r>
  </si>
  <si>
    <r>
      <rPr>
        <b/>
        <sz val="16"/>
        <color theme="1"/>
        <rFont val="Arial"/>
        <family val="2"/>
      </rPr>
      <t xml:space="preserve">Phase 2:
Data insecurity: </t>
    </r>
    <r>
      <rPr>
        <sz val="16"/>
        <color theme="1"/>
        <rFont val="Arial"/>
        <family val="2"/>
      </rPr>
      <t>During validation, the AI will face simulated attacks in a sandbox environment. The team will document how the system responds and how it recovers. Results will be used to strengthen response plans for IRB review.</t>
    </r>
  </si>
  <si>
    <r>
      <rPr>
        <b/>
        <sz val="16"/>
        <color theme="1"/>
        <rFont val="Arial"/>
        <family val="2"/>
      </rPr>
      <t xml:space="preserve">Phase 2:
Inaccurate findings: </t>
    </r>
    <r>
      <rPr>
        <sz val="16"/>
        <color theme="1"/>
        <rFont val="Arial"/>
        <family val="2"/>
      </rPr>
      <t>Subject matter experts independent of the study team will review AI outputs and compare them with trusted resources. Errors or discrepancies will be logged, and retraining will be done if needed before deployment. This will be done under the same IRB and the IRB will be notified prior to implementation.</t>
    </r>
  </si>
  <si>
    <r>
      <rPr>
        <b/>
        <sz val="16"/>
        <color theme="1"/>
        <rFont val="Arial"/>
        <family val="2"/>
      </rPr>
      <t xml:space="preserve">Phase 2:
Misleading information: </t>
    </r>
    <r>
      <rPr>
        <sz val="16"/>
        <color theme="1"/>
        <rFont val="Arial"/>
        <family val="2"/>
      </rPr>
      <t>Blinded domain experts will check outputs against peer-reviewed or consensus sources. Any outputs below the credibility threshold will be flagged for correction and retraining (under this same protocol).</t>
    </r>
  </si>
  <si>
    <r>
      <rPr>
        <b/>
        <sz val="16"/>
        <color theme="1"/>
        <rFont val="Arial"/>
        <family val="2"/>
      </rPr>
      <t xml:space="preserve">Phase 2:
Participant or end-user manipulation: </t>
    </r>
    <r>
      <rPr>
        <sz val="16"/>
        <color theme="1"/>
        <rFont val="Arial"/>
        <family val="2"/>
      </rPr>
      <t>In the validation phase, the system will be tested for risks of producing manipulative or persuasive content. The study team will review these outputs to make sure the AI does not push undue influence. Any findings will be reported to the IRB.</t>
    </r>
  </si>
  <si>
    <r>
      <rPr>
        <b/>
        <sz val="16"/>
        <color theme="1"/>
        <rFont val="Arial"/>
        <family val="2"/>
      </rPr>
      <t xml:space="preserve">Phase 2:
Malicious misuse: </t>
    </r>
    <r>
      <rPr>
        <sz val="16"/>
        <color theme="1"/>
        <rFont val="Arial"/>
        <family val="2"/>
      </rPr>
      <t>The AI will be tested in controlled scenarious to see if it responds to harmful or technical misuse prompts. Findings will be reviewed, and risk protocols will be submitted to the IRB for review.</t>
    </r>
  </si>
  <si>
    <r>
      <rPr>
        <b/>
        <sz val="16"/>
        <color theme="1"/>
        <rFont val="Arial"/>
        <family val="2"/>
      </rPr>
      <t xml:space="preserve">Phase 2:
Tool involves any form of deception: </t>
    </r>
    <r>
      <rPr>
        <sz val="16"/>
        <color theme="1"/>
        <rFont val="Arial"/>
        <family val="2"/>
      </rPr>
      <t>The system will be tested for risks of producing scam, fraut, or impersonation content. Any problems will be logged, reported to the IRB, and fixed before moving into live testing (this will be submitted via a modification to the IRB.</t>
    </r>
  </si>
  <si>
    <r>
      <rPr>
        <b/>
        <sz val="16"/>
        <color theme="1"/>
        <rFont val="Arial"/>
        <family val="2"/>
      </rPr>
      <t>Phase 2:
Trusting output without confirmation:</t>
    </r>
    <r>
      <rPr>
        <sz val="16"/>
        <color theme="1"/>
        <rFont val="Arial"/>
        <family val="2"/>
      </rPr>
      <t xml:space="preserve"> Validation participants will be trained to practice caution in acting on any output and to always practice human judgment. The system will require human override, and override frequency will be tracked as a safety measure.</t>
    </r>
  </si>
  <si>
    <r>
      <rPr>
        <b/>
        <sz val="16"/>
        <color theme="1"/>
        <rFont val="Arial"/>
        <family val="2"/>
      </rPr>
      <t xml:space="preserve">Phase 2:
Respect for person/end-user or participant does not have choice if AI is used: </t>
    </r>
    <r>
      <rPr>
        <sz val="16"/>
        <color theme="1"/>
        <rFont val="Arial"/>
        <family val="2"/>
      </rPr>
      <t>During validation, participants will give feedback through surveys and interviews about whether the AI respects human decision-making. This will be used to refine the model and keep human agency central.</t>
    </r>
  </si>
  <si>
    <r>
      <rPr>
        <b/>
        <sz val="16"/>
        <color theme="1"/>
        <rFont val="Arial"/>
        <family val="2"/>
      </rPr>
      <t xml:space="preserve">Phase 2:
Inequity/Unfair advantage: </t>
    </r>
    <r>
      <rPr>
        <sz val="16"/>
        <color theme="1"/>
        <rFont val="Arial"/>
        <family val="2"/>
      </rPr>
      <t>Possibly the same as Phase 3. The AI may be piloted in limited settings. Findings on distributional impacts will be shared publicly in line with transparency commitments.</t>
    </r>
  </si>
  <si>
    <r>
      <rPr>
        <b/>
        <sz val="16"/>
        <color theme="1"/>
        <rFont val="Arial"/>
        <family val="2"/>
      </rPr>
      <t xml:space="preserve">Phase 2:
Inequity/Widening disparities: </t>
    </r>
    <r>
      <rPr>
        <sz val="16"/>
        <color theme="1"/>
        <rFont val="Arial"/>
        <family val="2"/>
      </rPr>
      <t>Workers will give direct feedback on how the AI affects their roles, responsibilities, and satisfaction.</t>
    </r>
  </si>
  <si>
    <r>
      <rPr>
        <b/>
        <sz val="16"/>
        <color theme="1"/>
        <rFont val="Arial"/>
        <family val="2"/>
      </rPr>
      <t xml:space="preserve">Phase 2:
AI acting outside human control: </t>
    </r>
    <r>
      <rPr>
        <sz val="16"/>
        <color theme="1"/>
        <rFont val="Arial"/>
        <family val="2"/>
      </rPr>
      <t>Validation will include stress-testing in sandbox environments to check for goal drift under various conditions.</t>
    </r>
  </si>
  <si>
    <r>
      <rPr>
        <b/>
        <sz val="16"/>
        <color theme="1"/>
        <rFont val="Arial"/>
        <family val="2"/>
      </rPr>
      <t xml:space="preserve">Phase 2:
Mass harm or manipulation: </t>
    </r>
    <r>
      <rPr>
        <sz val="16"/>
        <color theme="1"/>
        <rFont val="Arial"/>
        <family val="2"/>
      </rPr>
      <t>Red teams will test how the model responds to misuse scenarios.</t>
    </r>
  </si>
  <si>
    <r>
      <rPr>
        <b/>
        <sz val="16"/>
        <color theme="1"/>
        <rFont val="Arial"/>
        <family val="2"/>
      </rPr>
      <t xml:space="preserve">Phase 2:
Unreliable system or performance: </t>
    </r>
    <r>
      <rPr>
        <sz val="16"/>
        <color theme="1"/>
        <rFont val="Arial"/>
        <family val="2"/>
      </rPr>
      <t>We will conduct stress testing with unusual or unexpected cases to measure the AI's reliability.</t>
    </r>
  </si>
  <si>
    <r>
      <rPr>
        <b/>
        <sz val="16"/>
        <color theme="1"/>
        <rFont val="Arial"/>
        <family val="2"/>
      </rPr>
      <t xml:space="preserve">Phase 2:
Transparency/Interpretability: </t>
    </r>
    <r>
      <rPr>
        <sz val="16"/>
        <color theme="1"/>
        <rFont val="Arial"/>
        <family val="2"/>
      </rPr>
      <t xml:space="preserve">Clinicians and/or end-users will review the AI's explanations. User studies will check if outputs are clear and appropriate for the audience. </t>
    </r>
  </si>
  <si>
    <r>
      <t>Phase 2: 
Multi-agent risks:</t>
    </r>
    <r>
      <rPr>
        <sz val="16"/>
        <color theme="1"/>
        <rFont val="Arial"/>
        <family val="2"/>
      </rPr>
      <t xml:space="preserve"> Validation will include tests for coordination, collusion, or conflict in controlled environments, with findings reviewed by the IRB (e.g. dummy users testing for ways to game the system). </t>
    </r>
  </si>
  <si>
    <r>
      <rPr>
        <b/>
        <sz val="16"/>
        <color theme="1"/>
        <rFont val="Arial"/>
        <family val="2"/>
      </rPr>
      <t xml:space="preserve">Phase 3:
Privacy or confidentiality breach:  </t>
    </r>
    <r>
      <rPr>
        <sz val="16"/>
        <color theme="1"/>
        <rFont val="Arial"/>
        <family val="2"/>
      </rPr>
      <t>System logs will be reviewed weekly for any leaks. Only minimum data will be used, with strict access limits. Participants will be informed about their right to opt out of data reuse. Controls from earlier phases carry over. Additionally, strict access controls will be enforced, and data use will be subject to ongoing IRB oversight, with opt-out mechanisms available at all times.</t>
    </r>
  </si>
  <si>
    <r>
      <rPr>
        <b/>
        <sz val="16"/>
        <color theme="1"/>
        <rFont val="Arial"/>
        <family val="2"/>
      </rPr>
      <t xml:space="preserve">Phase 3:
Data insecurity:  </t>
    </r>
    <r>
      <rPr>
        <sz val="16"/>
        <color theme="1"/>
        <rFont val="Arial"/>
        <family val="2"/>
      </rPr>
      <t>The tool will run on a secure network approved by the proper governance body of the institution, and it will have intrusion detection. Any breach will trigger immediate response and rollback. Security will be tested regularly. Any breach would be reported to the IRB as required.</t>
    </r>
  </si>
  <si>
    <r>
      <rPr>
        <b/>
        <sz val="16"/>
        <color theme="1"/>
        <rFont val="Arial"/>
        <family val="2"/>
      </rPr>
      <t xml:space="preserve">Phase 3:
Inaccurate findings: </t>
    </r>
    <r>
      <rPr>
        <sz val="16"/>
        <color theme="1"/>
        <rFont val="Arial"/>
        <family val="2"/>
      </rPr>
      <t>Outpouts will include disclaimers and references. Users can flag errors, which will be tracked and fixed within a set timeframe. Quarterly error reports will go to the DSMB and to the IRB annually unless IRB determines higher frequency is warranted.</t>
    </r>
  </si>
  <si>
    <r>
      <rPr>
        <b/>
        <sz val="16"/>
        <color theme="1"/>
        <rFont val="Arial"/>
        <family val="2"/>
      </rPr>
      <t xml:space="preserve">Phase 3:
Misleading information: </t>
    </r>
    <r>
      <rPr>
        <sz val="16"/>
        <color theme="1"/>
        <rFont val="Arial"/>
        <family val="2"/>
      </rPr>
      <t>Access will be restricted to verified users. The system will be monitored for "drift" from accurate sources. If drift is found, the model will be retrained. This will be reported to the IRB quarterly, unless IRB determines higher frequency is warranted.</t>
    </r>
  </si>
  <si>
    <r>
      <rPr>
        <b/>
        <sz val="16"/>
        <color theme="1"/>
        <rFont val="Arial"/>
        <family val="2"/>
      </rPr>
      <t xml:space="preserve">Phase 3:
Participant or end-user manipulation: </t>
    </r>
    <r>
      <rPr>
        <sz val="16"/>
        <color theme="1"/>
        <rFont val="Arial"/>
        <family val="2"/>
      </rPr>
      <t>Safeguards include identify checks, bans on political/religious use, and misuse monitoring. Attempts at manipulation will be blocked and reported to the IRB annually.</t>
    </r>
  </si>
  <si>
    <r>
      <rPr>
        <b/>
        <sz val="16"/>
        <color theme="1"/>
        <rFont val="Arial"/>
        <family val="2"/>
      </rPr>
      <t xml:space="preserve">Phase 3:
Malicious misuse: </t>
    </r>
    <r>
      <rPr>
        <sz val="16"/>
        <color theme="1"/>
        <rFont val="Arial"/>
        <family val="2"/>
      </rPr>
      <t>Filters will block dangerous requests. Confirmed incidents will be reported and, if needed, shared with law enforcement.</t>
    </r>
  </si>
  <si>
    <r>
      <rPr>
        <b/>
        <sz val="16"/>
        <color theme="1"/>
        <rFont val="Arial"/>
        <family val="2"/>
      </rPr>
      <t>Phase 3:
Trusting output without confirmation:</t>
    </r>
    <r>
      <rPr>
        <sz val="16"/>
        <color theme="1"/>
        <rFont val="Arial"/>
        <family val="2"/>
      </rPr>
      <t xml:space="preserve"> Deployment will be staged across X-number of sites. Outputs will include warnings, users will be prompted to confirm output and if needed, report errors. Logs will be checked for patterns of overreliance and shared annually with the IRB and DSMB.</t>
    </r>
  </si>
  <si>
    <r>
      <rPr>
        <b/>
        <sz val="16"/>
        <color theme="1"/>
        <rFont val="Arial"/>
        <family val="2"/>
      </rPr>
      <t xml:space="preserve">Phase 3:
Respect for person/end-user or participant does not have choice if AI is used: </t>
    </r>
    <r>
      <rPr>
        <sz val="16"/>
        <color theme="1"/>
        <rFont val="Arial"/>
        <family val="2"/>
      </rPr>
      <t>The system will require user/participant consent prompts before initiating any automated action to ensure the end-user is fully informed about the investigational use of the tool and their rights. Logs will be maintained to track consent patterns, and results will be shared with the IRB annually.</t>
    </r>
  </si>
  <si>
    <r>
      <rPr>
        <b/>
        <sz val="16"/>
        <color theme="1"/>
        <rFont val="Arial"/>
        <family val="2"/>
      </rPr>
      <t xml:space="preserve">Phase 3:
Inequity/Unfair advantage: </t>
    </r>
    <r>
      <rPr>
        <sz val="16"/>
        <color theme="1"/>
        <rFont val="Arial"/>
        <family val="2"/>
      </rPr>
      <t xml:space="preserve">Benefits and risks to underrepresented groups will be tracked continuously. Results will be reported to the IRB (and community partners if applicable). </t>
    </r>
  </si>
  <si>
    <r>
      <rPr>
        <b/>
        <sz val="16"/>
        <color theme="1"/>
        <rFont val="Arial"/>
        <family val="2"/>
      </rPr>
      <t>Phase 3:
Inequity/Widening disparities:</t>
    </r>
    <r>
      <rPr>
        <sz val="16"/>
        <color theme="1"/>
        <rFont val="Arial"/>
        <family val="2"/>
      </rPr>
      <t xml:space="preserve"> Workforce retraining will be implemented before rollout. Displacement and retraining outcomes will be monitored.</t>
    </r>
  </si>
  <si>
    <r>
      <rPr>
        <b/>
        <sz val="16"/>
        <color theme="1"/>
        <rFont val="Arial"/>
        <family val="2"/>
      </rPr>
      <t xml:space="preserve">Phase 3:
Devaluing or replacing human role: </t>
    </r>
    <r>
      <rPr>
        <sz val="16"/>
        <color theme="1"/>
        <rFont val="Arial"/>
        <family val="2"/>
      </rPr>
      <t>All AI-generated outputs will be labeled. Any workforce impacts will be tracked and reported to the IRB annually.</t>
    </r>
  </si>
  <si>
    <r>
      <rPr>
        <b/>
        <sz val="16"/>
        <color theme="1"/>
        <rFont val="Arial"/>
        <family val="2"/>
      </rPr>
      <t xml:space="preserve">Phase 3:
Lacking required oversight or failing to adhere to required standards: </t>
    </r>
    <r>
      <rPr>
        <sz val="16"/>
        <color theme="1"/>
        <rFont val="Arial"/>
        <family val="2"/>
      </rPr>
      <t>Mitigations carry over from Phase 1 and 2 with additional governance body continued oversight as required by the institution. Recommend independent audits done regularly with findings reported to the IRB annually (unless a reportable event that needs to be submitted earlier).</t>
    </r>
  </si>
  <si>
    <r>
      <rPr>
        <b/>
        <sz val="16"/>
        <color theme="1"/>
        <rFont val="Arial"/>
        <family val="2"/>
      </rPr>
      <t xml:space="preserve">Phase 3:
AI acting outside human control: </t>
    </r>
    <r>
      <rPr>
        <sz val="16"/>
        <color theme="1"/>
        <rFont val="Arial"/>
        <family val="2"/>
      </rPr>
      <t>The system will be continuously monitored for alignment with goals and identifying any drift. If drift is identified, a kill switch will be available or automatic decommission.</t>
    </r>
  </si>
  <si>
    <r>
      <rPr>
        <b/>
        <sz val="16"/>
        <color theme="1"/>
        <rFont val="Arial"/>
        <family val="2"/>
      </rPr>
      <t>Phase 3:
Mass harm or manipulation:</t>
    </r>
    <r>
      <rPr>
        <sz val="16"/>
        <color theme="1"/>
        <rFont val="Arial"/>
        <family val="2"/>
      </rPr>
      <t xml:space="preserve"> System will only be run in restricted environments with tiered access controls to prevent unauthorized use.</t>
    </r>
  </si>
  <si>
    <r>
      <rPr>
        <b/>
        <sz val="16"/>
        <color theme="1"/>
        <rFont val="Arial"/>
        <family val="2"/>
      </rPr>
      <t xml:space="preserve">Phase 3:
Unreliable system or performance </t>
    </r>
    <r>
      <rPr>
        <sz val="16"/>
        <color theme="1"/>
        <rFont val="Arial"/>
        <family val="2"/>
      </rPr>
      <t>Performance metrics will be tracked in real time. If failures occur, rollblack plans will be activated (tool will be stopped immediately and return to last safe version or back to standard non-AI methods).</t>
    </r>
  </si>
  <si>
    <r>
      <rPr>
        <b/>
        <sz val="16"/>
        <color theme="1"/>
        <rFont val="Arial"/>
        <family val="2"/>
      </rPr>
      <t xml:space="preserve">Phase 3:
Transparency/Interpretability: </t>
    </r>
    <r>
      <rPr>
        <sz val="16"/>
        <color theme="1"/>
        <rFont val="Arial"/>
        <family val="2"/>
      </rPr>
      <t xml:space="preserve">Participants will be told when AI is used and given lay-language explanations. Records will be kept (documenting reasoning pathways) which will be provided to the IRB and end-user.
</t>
    </r>
    <r>
      <rPr>
        <b/>
        <i/>
        <sz val="16"/>
        <color theme="1"/>
        <rFont val="Arial"/>
        <family val="2"/>
      </rPr>
      <t xml:space="preserve">Note: </t>
    </r>
    <r>
      <rPr>
        <i/>
        <sz val="16"/>
        <color theme="1"/>
        <rFont val="Arial"/>
        <family val="2"/>
      </rPr>
      <t>ISO requires persons using shall have knowledge of an experience with the tool and its use; and appropriate records shall be maintained.</t>
    </r>
  </si>
  <si>
    <r>
      <rPr>
        <b/>
        <sz val="16"/>
        <color theme="1"/>
        <rFont val="Arial"/>
        <family val="2"/>
      </rPr>
      <t xml:space="preserve">Respect for Person (End-User or Participant Does Not Have Choice if AI is Used):
</t>
    </r>
    <r>
      <rPr>
        <sz val="16"/>
        <color theme="1"/>
        <rFont val="Arial"/>
        <family val="2"/>
      </rPr>
      <t>Please describe the authorization and consent process by which you will gain access to the data (e.g., IRB approval, consent, HIPAA authorization, data use agreements) [PHASE 1].
Participants may not understand the AI'S role or how AI affects their care or data. Please describe how you will explain this [PHASE 2 &amp; 3].
Please describe how chatbot responses will be explained to users. For example, will they be informed of the intended use, limitations, and potential hallucination? How should they engage with the tool? What should they not do? Etc. [PHASE 2 &amp; 3].
Please clarify how you will ensure human-in-the-loop oversight for all AI-supported decisions that could affect patient safety or clinical outcomes [PHASE 3].
Please describe how you will communicate risks and limitations of the AI tool to participants, clinicians, and other stakeholders [PHASE 3].</t>
    </r>
  </si>
  <si>
    <t>Bare Minimum Mitigation by Phase</t>
  </si>
  <si>
    <r>
      <rPr>
        <b/>
        <sz val="22"/>
        <color theme="0"/>
        <rFont val="Arial"/>
        <family val="2"/>
      </rPr>
      <t>Submission Date:</t>
    </r>
    <r>
      <rPr>
        <sz val="22"/>
        <color theme="0"/>
        <rFont val="Arial"/>
        <family val="2"/>
      </rPr>
      <t xml:space="preserve"> 09/21/2025</t>
    </r>
  </si>
  <si>
    <r>
      <rPr>
        <b/>
        <sz val="22"/>
        <color theme="0"/>
        <rFont val="Arial"/>
        <family val="2"/>
      </rPr>
      <t xml:space="preserve">Owner: </t>
    </r>
    <r>
      <rPr>
        <sz val="22"/>
        <color theme="0"/>
        <rFont val="Arial"/>
        <family val="2"/>
      </rPr>
      <t>Tamiko Eto, MA CIP</t>
    </r>
  </si>
  <si>
    <r>
      <rPr>
        <b/>
        <sz val="22"/>
        <color theme="0"/>
        <rFont val="Arial"/>
        <family val="2"/>
      </rPr>
      <t xml:space="preserve">Funding: </t>
    </r>
    <r>
      <rPr>
        <sz val="22"/>
        <color theme="0"/>
        <rFont val="Arial"/>
        <family val="2"/>
      </rPr>
      <t>None</t>
    </r>
  </si>
  <si>
    <r>
      <t>Title:</t>
    </r>
    <r>
      <rPr>
        <sz val="22"/>
        <color theme="0"/>
        <rFont val="Arial"/>
        <family val="2"/>
      </rPr>
      <t xml:space="preserve"> Quick Reference Risk Identification and Mitigation Guide for IRBs Reviewing AI in Human Subjects Research (AIHSR)</t>
    </r>
  </si>
  <si>
    <t>Step 1: Start with the Study</t>
  </si>
  <si>
    <t>Step 2: Spot the Risks</t>
  </si>
  <si>
    <t>* Look at the list of known risks for that type of AI.
* Check off any that apply to the study you’re reviewing.</t>
  </si>
  <si>
    <t>Step 3 – Review the Regs and Mitigation Recommendations</t>
  </si>
  <si>
    <t>* For each risk, the tool shows the relevant regulation and suggested safeguards.
* Use these as a guide to judge whether protections are strong enough.</t>
  </si>
  <si>
    <t>Step 4: Use the IRB Reviewer Prompts</t>
  </si>
  <si>
    <t>* The tool suggests questions you can ask the study team to clarify risks or protections.
* Use these prompts in your review notes or discussions.</t>
  </si>
  <si>
    <t>Step 5: Record Your Review</t>
  </si>
  <si>
    <t>Summarize your assessment in your institution’s normal review form:
-Type of AI model
- Risks you identified
- Mitigation strategies in place (or still needed)
- Any follow-up questions/concerns</t>
  </si>
  <si>
    <t xml:space="preserve">Provide feedback!
https://forms.gle/2ij9ic3N8ePN1i799 </t>
  </si>
  <si>
    <r>
      <t xml:space="preserve">* Review the AI study protocol.
* In the Tool, select the AI use case (what the system is testing).C3
* Choose the phase of development (early testing, validation, or clinical use). If not sure, ask the study team.
</t>
    </r>
    <r>
      <rPr>
        <b/>
        <sz val="14"/>
        <color theme="1"/>
        <rFont val="Arial"/>
        <family val="2"/>
      </rPr>
      <t xml:space="preserve">TIPS FOR SUCCESS: 
</t>
    </r>
    <r>
      <rPr>
        <sz val="14"/>
        <color theme="1"/>
        <rFont val="Arial"/>
        <family val="2"/>
      </rPr>
      <t xml:space="preserve">* Feel free to explore the Definitions tab if terms are unfamiliar
* Explore the other tabs (Map Risk-Mitigation-Prompt) to better understand what risks require which mitigations, based on the stage of development the tool is in.
* The "Examples" tab may be useful to get a high level understanding of Phase-Based Risk Assessment based on the Model Type.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</si>
</sst>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2"/>
      <color theme="1"/>
      <name val="Aptos Narrow"/>
      <family val="2"/>
      <scheme val="minor"/>
    </font>
    <font>
      <sz val="12"/>
      <color theme="1"/>
      <name val="Aptos Narrow"/>
      <family val="2"/>
      <scheme val="minor"/>
    </font>
    <font>
      <u/>
      <sz val="12"/>
      <color theme="10"/>
      <name val="Aptos Narrow"/>
      <family val="2"/>
      <scheme val="minor"/>
    </font>
    <font>
      <b/>
      <sz val="12"/>
      <color theme="1"/>
      <name val="Arial"/>
      <family val="2"/>
    </font>
    <font>
      <sz val="12"/>
      <color theme="1"/>
      <name val="Arial"/>
      <family val="2"/>
    </font>
    <font>
      <b/>
      <sz val="14"/>
      <color theme="1"/>
      <name val="Arial"/>
      <family val="2"/>
    </font>
    <font>
      <sz val="14"/>
      <color theme="1"/>
      <name val="Arial"/>
      <family val="2"/>
    </font>
    <font>
      <b/>
      <sz val="14"/>
      <color theme="0"/>
      <name val="Arial"/>
      <family val="2"/>
    </font>
    <font>
      <sz val="14"/>
      <color theme="0"/>
      <name val="Arial"/>
      <family val="2"/>
    </font>
    <font>
      <sz val="20"/>
      <color theme="0"/>
      <name val="Arial"/>
      <family val="2"/>
    </font>
    <font>
      <sz val="18"/>
      <color theme="0"/>
      <name val="Arial"/>
      <family val="2"/>
    </font>
    <font>
      <b/>
      <sz val="18"/>
      <color theme="1"/>
      <name val="Arial"/>
      <family val="2"/>
    </font>
    <font>
      <sz val="16"/>
      <color theme="1"/>
      <name val="Arial"/>
      <family val="2"/>
    </font>
    <font>
      <b/>
      <sz val="16"/>
      <color theme="1"/>
      <name val="Arial"/>
      <family val="2"/>
    </font>
    <font>
      <b/>
      <sz val="16"/>
      <color theme="0"/>
      <name val="Arial"/>
      <family val="2"/>
    </font>
    <font>
      <sz val="16"/>
      <color theme="0"/>
      <name val="Arial"/>
      <family val="2"/>
    </font>
    <font>
      <i/>
      <sz val="12"/>
      <color theme="1"/>
      <name val="Arial"/>
      <family val="2"/>
    </font>
    <font>
      <i/>
      <sz val="10"/>
      <color theme="1"/>
      <name val="Arial"/>
      <family val="2"/>
    </font>
    <font>
      <sz val="10"/>
      <color theme="1"/>
      <name val="Arial"/>
      <family val="2"/>
    </font>
    <font>
      <b/>
      <sz val="12"/>
      <color theme="0"/>
      <name val="Arial"/>
      <family val="2"/>
    </font>
    <font>
      <sz val="12"/>
      <color theme="0"/>
      <name val="Arial"/>
      <family val="2"/>
    </font>
    <font>
      <b/>
      <sz val="18"/>
      <color theme="0"/>
      <name val="Arial"/>
      <family val="2"/>
    </font>
    <font>
      <sz val="18"/>
      <color theme="1"/>
      <name val="Arial"/>
      <family val="2"/>
    </font>
    <font>
      <sz val="20"/>
      <color theme="1"/>
      <name val="Arial"/>
      <family val="2"/>
    </font>
    <font>
      <sz val="26"/>
      <color theme="1"/>
      <name val="Arial"/>
      <family val="2"/>
    </font>
    <font>
      <sz val="36"/>
      <color theme="1"/>
      <name val="Arial"/>
      <family val="2"/>
    </font>
    <font>
      <sz val="36"/>
      <color theme="0"/>
      <name val="Arial"/>
      <family val="2"/>
    </font>
    <font>
      <i/>
      <sz val="36"/>
      <color theme="0"/>
      <name val="Arial"/>
      <family val="2"/>
    </font>
    <font>
      <u/>
      <sz val="24"/>
      <color theme="0"/>
      <name val="Arial"/>
      <family val="2"/>
    </font>
    <font>
      <u/>
      <sz val="18"/>
      <color theme="10"/>
      <name val="Arial"/>
      <family val="2"/>
    </font>
    <font>
      <b/>
      <i/>
      <sz val="16"/>
      <color theme="4" tint="-0.249977111117893"/>
      <name val="Arial"/>
      <family val="2"/>
    </font>
    <font>
      <sz val="9"/>
      <color theme="1"/>
      <name val="Arial"/>
      <family val="2"/>
    </font>
    <font>
      <i/>
      <sz val="9"/>
      <color theme="1"/>
      <name val="Arial"/>
      <family val="2"/>
    </font>
    <font>
      <u/>
      <sz val="22"/>
      <color theme="0"/>
      <name val="Arial"/>
      <family val="2"/>
    </font>
    <font>
      <u/>
      <sz val="22"/>
      <color theme="10"/>
      <name val="Arial"/>
      <family val="2"/>
    </font>
    <font>
      <sz val="22"/>
      <color theme="1"/>
      <name val="Arial"/>
      <family val="2"/>
    </font>
    <font>
      <b/>
      <sz val="22"/>
      <color theme="1"/>
      <name val="Arial"/>
      <family val="2"/>
    </font>
    <font>
      <b/>
      <sz val="22"/>
      <color theme="0"/>
      <name val="Arial"/>
      <family val="2"/>
    </font>
    <font>
      <i/>
      <sz val="16"/>
      <color theme="1"/>
      <name val="Arial"/>
      <family val="2"/>
    </font>
    <font>
      <u/>
      <sz val="16"/>
      <color theme="10"/>
      <name val="Aptos Narrow"/>
      <family val="2"/>
      <scheme val="minor"/>
    </font>
    <font>
      <i/>
      <sz val="16"/>
      <color theme="0"/>
      <name val="Arial"/>
      <family val="2"/>
    </font>
    <font>
      <i/>
      <sz val="14"/>
      <color theme="0"/>
      <name val="Arial"/>
      <family val="2"/>
    </font>
    <font>
      <sz val="22"/>
      <color theme="0"/>
      <name val="Arial"/>
      <family val="2"/>
    </font>
    <font>
      <b/>
      <i/>
      <sz val="16"/>
      <color theme="1"/>
      <name val="Arial"/>
      <family val="2"/>
    </font>
    <font>
      <b/>
      <u/>
      <sz val="22"/>
      <color theme="0"/>
      <name val="Arial"/>
      <family val="2"/>
    </font>
    <font>
      <i/>
      <sz val="22"/>
      <color theme="0"/>
      <name val="Arial"/>
      <family val="2"/>
    </font>
    <font>
      <u/>
      <sz val="20"/>
      <color theme="10"/>
      <name val="Aptos Narrow"/>
      <family val="2"/>
      <scheme val="minor"/>
    </font>
    <font>
      <b/>
      <u/>
      <sz val="16"/>
      <color theme="10"/>
      <name val="Aptos Narrow"/>
      <scheme val="minor"/>
    </font>
  </fonts>
  <fills count="20">
    <fill>
      <patternFill patternType="none"/>
    </fill>
    <fill>
      <patternFill patternType="gray125"/>
    </fill>
    <fill>
      <patternFill patternType="solid">
        <fgColor rgb="FFFFC000"/>
        <bgColor indexed="64"/>
      </patternFill>
    </fill>
    <fill>
      <patternFill patternType="solid">
        <fgColor theme="4"/>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bgColor indexed="64"/>
      </patternFill>
    </fill>
    <fill>
      <patternFill patternType="solid">
        <fgColor rgb="FFFF0000"/>
        <bgColor indexed="64"/>
      </patternFill>
    </fill>
    <fill>
      <patternFill patternType="solid">
        <fgColor theme="3" tint="0.249977111117893"/>
        <bgColor indexed="64"/>
      </patternFill>
    </fill>
    <fill>
      <patternFill patternType="solid">
        <fgColor rgb="FF92D050"/>
        <bgColor indexed="64"/>
      </patternFill>
    </fill>
    <fill>
      <patternFill patternType="solid">
        <fgColor theme="0" tint="-0.249977111117893"/>
        <bgColor indexed="64"/>
      </patternFill>
    </fill>
    <fill>
      <patternFill patternType="solid">
        <fgColor rgb="FF215C99"/>
        <bgColor indexed="64"/>
      </patternFill>
    </fill>
    <fill>
      <patternFill patternType="solid">
        <fgColor theme="0" tint="-0.14999847407452621"/>
        <bgColor indexed="64"/>
      </patternFill>
    </fill>
    <fill>
      <patternFill patternType="solid">
        <fgColor theme="9"/>
        <bgColor indexed="64"/>
      </patternFill>
    </fill>
    <fill>
      <patternFill patternType="solid">
        <fgColor rgb="FFFFFDD2"/>
        <bgColor indexed="64"/>
      </patternFill>
    </fill>
    <fill>
      <patternFill patternType="solid">
        <fgColor rgb="FF00B0F0"/>
        <bgColor indexed="64"/>
      </patternFill>
    </fill>
    <fill>
      <patternFill patternType="solid">
        <fgColor theme="0"/>
        <bgColor indexed="64"/>
      </patternFill>
    </fill>
    <fill>
      <patternFill patternType="solid">
        <fgColor rgb="FFFFFF0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theme="4"/>
      </right>
      <top style="thin">
        <color theme="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right style="thin">
        <color indexed="64"/>
      </right>
      <top style="medium">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right style="thin">
        <color indexed="64"/>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thin">
        <color indexed="64"/>
      </right>
      <top/>
      <bottom style="medium">
        <color indexed="64"/>
      </bottom>
      <diagonal/>
    </border>
    <border>
      <left style="medium">
        <color theme="0" tint="-0.14999847407452621"/>
      </left>
      <right/>
      <top style="medium">
        <color theme="0" tint="-0.14999847407452621"/>
      </top>
      <bottom/>
      <diagonal/>
    </border>
    <border>
      <left/>
      <right/>
      <top style="medium">
        <color theme="0" tint="-0.14999847407452621"/>
      </top>
      <bottom/>
      <diagonal/>
    </border>
    <border>
      <left/>
      <right style="medium">
        <color theme="0" tint="-0.14999847407452621"/>
      </right>
      <top style="medium">
        <color theme="0" tint="-0.14999847407452621"/>
      </top>
      <bottom/>
      <diagonal/>
    </border>
    <border>
      <left style="medium">
        <color theme="0" tint="-0.14999847407452621"/>
      </left>
      <right/>
      <top/>
      <bottom/>
      <diagonal/>
    </border>
    <border>
      <left/>
      <right style="medium">
        <color theme="0" tint="-0.14999847407452621"/>
      </right>
      <top/>
      <bottom/>
      <diagonal/>
    </border>
    <border>
      <left/>
      <right style="medium">
        <color theme="0" tint="-0.14999847407452621"/>
      </right>
      <top style="medium">
        <color indexed="64"/>
      </top>
      <bottom/>
      <diagonal/>
    </border>
    <border>
      <left style="medium">
        <color theme="0" tint="-0.14999847407452621"/>
      </left>
      <right/>
      <top/>
      <bottom style="medium">
        <color theme="0" tint="-0.14999847407452621"/>
      </bottom>
      <diagonal/>
    </border>
    <border>
      <left/>
      <right style="medium">
        <color theme="0" tint="-0.14999847407452621"/>
      </right>
      <top/>
      <bottom style="medium">
        <color theme="0" tint="-0.14999847407452621"/>
      </bottom>
      <diagonal/>
    </border>
    <border>
      <left style="thin">
        <color indexed="64"/>
      </left>
      <right style="medium">
        <color theme="0" tint="-0.14999847407452621"/>
      </right>
      <top/>
      <bottom style="thin">
        <color theme="0" tint="-0.14999847407452621"/>
      </bottom>
      <diagonal/>
    </border>
    <border>
      <left style="medium">
        <color theme="0" tint="-0.14999847407452621"/>
      </left>
      <right style="thin">
        <color indexed="64"/>
      </right>
      <top style="medium">
        <color indexed="64"/>
      </top>
      <bottom style="thin">
        <color indexed="64"/>
      </bottom>
      <diagonal/>
    </border>
    <border>
      <left style="medium">
        <color theme="0" tint="-0.14999847407452621"/>
      </left>
      <right style="thin">
        <color indexed="64"/>
      </right>
      <top style="thin">
        <color indexed="64"/>
      </top>
      <bottom style="thin">
        <color indexed="64"/>
      </bottom>
      <diagonal/>
    </border>
    <border>
      <left style="medium">
        <color theme="0" tint="-0.14999847407452621"/>
      </left>
      <right style="thin">
        <color indexed="64"/>
      </right>
      <top style="thin">
        <color indexed="64"/>
      </top>
      <bottom/>
      <diagonal/>
    </border>
    <border>
      <left style="medium">
        <color theme="0" tint="-0.14999847407452621"/>
      </left>
      <right style="thin">
        <color indexed="64"/>
      </right>
      <top/>
      <bottom/>
      <diagonal/>
    </border>
    <border>
      <left style="medium">
        <color theme="0" tint="-0.14999847407452621"/>
      </left>
      <right style="thin">
        <color indexed="64"/>
      </right>
      <top/>
      <bottom style="thin">
        <color indexed="64"/>
      </bottom>
      <diagonal/>
    </border>
    <border>
      <left style="thin">
        <color indexed="64"/>
      </left>
      <right style="thin">
        <color indexed="64"/>
      </right>
      <top/>
      <bottom style="medium">
        <color theme="0" tint="-0.14999847407452621"/>
      </bottom>
      <diagonal/>
    </border>
    <border>
      <left style="medium">
        <color theme="0" tint="-0.14999847407452621"/>
      </left>
      <right style="thin">
        <color indexed="64"/>
      </right>
      <top/>
      <bottom style="medium">
        <color theme="0" tint="-0.14999847407452621"/>
      </bottom>
      <diagonal/>
    </border>
    <border>
      <left style="medium">
        <color indexed="64"/>
      </left>
      <right style="thin">
        <color theme="3" tint="0.249977111117893"/>
      </right>
      <top style="medium">
        <color indexed="64"/>
      </top>
      <bottom style="thin">
        <color indexed="64"/>
      </bottom>
      <diagonal/>
    </border>
    <border>
      <left style="thin">
        <color theme="3" tint="0.249977111117893"/>
      </left>
      <right style="thin">
        <color theme="3" tint="0.249977111117893"/>
      </right>
      <top style="medium">
        <color indexed="64"/>
      </top>
      <bottom style="thin">
        <color indexed="64"/>
      </bottom>
      <diagonal/>
    </border>
    <border>
      <left style="medium">
        <color theme="3" tint="0.249977111117893"/>
      </left>
      <right/>
      <top style="medium">
        <color theme="3" tint="0.249977111117893"/>
      </top>
      <bottom/>
      <diagonal/>
    </border>
    <border>
      <left/>
      <right/>
      <top style="medium">
        <color theme="3" tint="0.249977111117893"/>
      </top>
      <bottom/>
      <diagonal/>
    </border>
    <border>
      <left/>
      <right style="medium">
        <color theme="3" tint="0.249977111117893"/>
      </right>
      <top style="medium">
        <color theme="3" tint="0.249977111117893"/>
      </top>
      <bottom/>
      <diagonal/>
    </border>
    <border>
      <left style="medium">
        <color theme="3" tint="0.249977111117893"/>
      </left>
      <right style="thin">
        <color indexed="64"/>
      </right>
      <top style="thin">
        <color indexed="64"/>
      </top>
      <bottom style="thin">
        <color indexed="64"/>
      </bottom>
      <diagonal/>
    </border>
    <border>
      <left style="thin">
        <color indexed="64"/>
      </left>
      <right style="medium">
        <color theme="3" tint="0.249977111117893"/>
      </right>
      <top style="thin">
        <color indexed="64"/>
      </top>
      <bottom style="thin">
        <color indexed="64"/>
      </bottom>
      <diagonal/>
    </border>
    <border>
      <left/>
      <right style="medium">
        <color theme="3" tint="0.249977111117893"/>
      </right>
      <top/>
      <bottom/>
      <diagonal/>
    </border>
    <border>
      <left style="medium">
        <color theme="3" tint="0.249977111117893"/>
      </left>
      <right style="thin">
        <color indexed="64"/>
      </right>
      <top style="thin">
        <color indexed="64"/>
      </top>
      <bottom style="medium">
        <color theme="3" tint="0.249977111117893"/>
      </bottom>
      <diagonal/>
    </border>
    <border>
      <left style="thin">
        <color indexed="64"/>
      </left>
      <right style="medium">
        <color indexed="64"/>
      </right>
      <top style="thin">
        <color indexed="64"/>
      </top>
      <bottom style="medium">
        <color theme="3" tint="0.249977111117893"/>
      </bottom>
      <diagonal/>
    </border>
    <border>
      <left/>
      <right style="medium">
        <color theme="3" tint="0.249977111117893"/>
      </right>
      <top/>
      <bottom style="medium">
        <color theme="3" tint="0.249977111117893"/>
      </bottom>
      <diagonal/>
    </border>
  </borders>
  <cellStyleXfs count="3">
    <xf numFmtId="0" fontId="0" fillId="0" borderId="0"/>
    <xf numFmtId="0" fontId="2" fillId="0" borderId="0" applyNumberFormat="0" applyFill="0" applyBorder="0" applyAlignment="0" applyProtection="0"/>
    <xf numFmtId="0" fontId="1" fillId="0" borderId="0"/>
  </cellStyleXfs>
  <cellXfs count="199">
    <xf numFmtId="0" fontId="0" fillId="0" borderId="0" xfId="0"/>
    <xf numFmtId="0" fontId="4" fillId="0" borderId="0" xfId="0" applyFont="1"/>
    <xf numFmtId="0" fontId="6" fillId="0" borderId="1" xfId="0" applyFont="1" applyBorder="1" applyAlignment="1">
      <alignment vertical="center" wrapText="1"/>
    </xf>
    <xf numFmtId="0" fontId="4" fillId="0" borderId="0" xfId="0" applyFont="1" applyAlignment="1">
      <alignment vertical="center" wrapText="1"/>
    </xf>
    <xf numFmtId="0" fontId="12" fillId="0" borderId="0" xfId="0" applyFont="1" applyAlignment="1">
      <alignment vertical="center" wrapText="1"/>
    </xf>
    <xf numFmtId="0" fontId="12" fillId="0" borderId="0" xfId="0" applyFont="1" applyAlignment="1">
      <alignment vertical="center"/>
    </xf>
    <xf numFmtId="0" fontId="8" fillId="3" borderId="0" xfId="0" applyFont="1" applyFill="1" applyAlignment="1">
      <alignment horizontal="center" vertical="center" wrapText="1"/>
    </xf>
    <xf numFmtId="0" fontId="4" fillId="0" borderId="0" xfId="0" applyFont="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7" fillId="0" borderId="1" xfId="0" applyFont="1" applyBorder="1" applyAlignment="1">
      <alignment vertical="center" wrapText="1"/>
    </xf>
    <xf numFmtId="0" fontId="4" fillId="0" borderId="1" xfId="0" applyFont="1" applyBorder="1" applyAlignment="1">
      <alignment vertical="center" wrapText="1"/>
    </xf>
    <xf numFmtId="0" fontId="4" fillId="0" borderId="1" xfId="0" applyFont="1" applyBorder="1" applyAlignment="1">
      <alignment horizontal="center" vertical="center" wrapText="1"/>
    </xf>
    <xf numFmtId="0" fontId="18" fillId="0" borderId="1" xfId="0" applyFont="1" applyBorder="1" applyAlignment="1">
      <alignment vertical="center" wrapText="1"/>
    </xf>
    <xf numFmtId="0" fontId="4" fillId="0" borderId="1" xfId="2" applyFont="1" applyBorder="1" applyAlignment="1">
      <alignment vertical="center" wrapText="1"/>
    </xf>
    <xf numFmtId="0" fontId="4" fillId="0" borderId="0" xfId="0" applyFont="1" applyAlignment="1">
      <alignment vertical="center"/>
    </xf>
    <xf numFmtId="0" fontId="4" fillId="0" borderId="0" xfId="0" applyFont="1" applyAlignment="1">
      <alignment horizontal="center" vertical="center"/>
    </xf>
    <xf numFmtId="0" fontId="8" fillId="3" borderId="1" xfId="0" applyFont="1" applyFill="1" applyBorder="1" applyAlignment="1">
      <alignment horizontal="center" vertical="center" wrapText="1"/>
    </xf>
    <xf numFmtId="0" fontId="14" fillId="0" borderId="0" xfId="0" applyFont="1"/>
    <xf numFmtId="0" fontId="23" fillId="0" borderId="0" xfId="0" applyFont="1"/>
    <xf numFmtId="0" fontId="24" fillId="10" borderId="0" xfId="0" applyFont="1" applyFill="1" applyAlignment="1">
      <alignment vertical="center"/>
    </xf>
    <xf numFmtId="0" fontId="24" fillId="0" borderId="0" xfId="0" applyFont="1" applyAlignment="1">
      <alignment vertical="center"/>
    </xf>
    <xf numFmtId="0" fontId="25" fillId="10" borderId="0" xfId="0" applyFont="1" applyFill="1" applyAlignment="1">
      <alignment vertical="center"/>
    </xf>
    <xf numFmtId="0" fontId="26" fillId="10" borderId="0" xfId="0" applyFont="1" applyFill="1" applyAlignment="1">
      <alignment vertical="center"/>
    </xf>
    <xf numFmtId="0" fontId="25" fillId="0" borderId="0" xfId="0" applyFont="1" applyAlignment="1">
      <alignment vertical="center"/>
    </xf>
    <xf numFmtId="0" fontId="26" fillId="10" borderId="0" xfId="0" applyFont="1" applyFill="1" applyAlignment="1">
      <alignment vertical="center" wrapText="1"/>
    </xf>
    <xf numFmtId="0" fontId="25" fillId="0" borderId="0" xfId="0" applyFont="1"/>
    <xf numFmtId="0" fontId="28" fillId="10" borderId="0" xfId="1" applyFont="1" applyFill="1" applyAlignment="1">
      <alignment vertical="center" wrapText="1"/>
    </xf>
    <xf numFmtId="0" fontId="12" fillId="0" borderId="1" xfId="0" applyFont="1" applyBorder="1" applyAlignment="1">
      <alignment vertical="center" wrapText="1"/>
    </xf>
    <xf numFmtId="0" fontId="13" fillId="7" borderId="1" xfId="0" applyFont="1" applyFill="1" applyBorder="1" applyAlignment="1">
      <alignment vertical="center" wrapText="1"/>
    </xf>
    <xf numFmtId="0" fontId="13" fillId="12" borderId="9" xfId="0" applyFont="1" applyFill="1" applyBorder="1" applyAlignment="1">
      <alignment vertical="center" wrapText="1"/>
    </xf>
    <xf numFmtId="0" fontId="12" fillId="12" borderId="9" xfId="0" applyFont="1" applyFill="1" applyBorder="1" applyAlignment="1">
      <alignment vertical="center" wrapText="1"/>
    </xf>
    <xf numFmtId="0" fontId="12" fillId="0" borderId="9" xfId="0" applyFont="1" applyBorder="1" applyAlignment="1">
      <alignment vertical="center" wrapText="1"/>
    </xf>
    <xf numFmtId="0" fontId="13" fillId="0" borderId="8" xfId="0" applyFont="1" applyBorder="1" applyAlignment="1">
      <alignment vertical="center" wrapText="1"/>
    </xf>
    <xf numFmtId="0" fontId="13" fillId="0" borderId="9" xfId="0" applyFont="1" applyBorder="1" applyAlignment="1">
      <alignment vertical="center" wrapText="1"/>
    </xf>
    <xf numFmtId="0" fontId="31" fillId="0" borderId="1" xfId="0" applyFont="1" applyBorder="1" applyAlignment="1">
      <alignment vertical="center" wrapText="1"/>
    </xf>
    <xf numFmtId="0" fontId="32" fillId="0" borderId="1" xfId="0" applyFont="1" applyBorder="1" applyAlignment="1">
      <alignment vertical="center" wrapText="1"/>
    </xf>
    <xf numFmtId="0" fontId="6" fillId="5" borderId="2" xfId="0" applyFont="1" applyFill="1" applyBorder="1" applyAlignment="1">
      <alignment horizontal="left" vertical="center" wrapText="1"/>
    </xf>
    <xf numFmtId="0" fontId="6" fillId="5" borderId="1" xfId="0" applyFont="1" applyFill="1" applyBorder="1" applyAlignment="1">
      <alignment horizontal="left" vertical="center" wrapText="1"/>
    </xf>
    <xf numFmtId="0" fontId="14" fillId="10" borderId="6" xfId="0" applyFont="1" applyFill="1" applyBorder="1" applyAlignment="1">
      <alignment vertical="center"/>
    </xf>
    <xf numFmtId="0" fontId="15" fillId="10" borderId="6" xfId="0" applyFont="1" applyFill="1" applyBorder="1" applyAlignment="1">
      <alignment vertical="center" wrapText="1"/>
    </xf>
    <xf numFmtId="0" fontId="35" fillId="0" borderId="1" xfId="0" applyFont="1" applyBorder="1" applyAlignment="1">
      <alignment vertical="center" wrapText="1"/>
    </xf>
    <xf numFmtId="0" fontId="35" fillId="14" borderId="0" xfId="0" applyFont="1" applyFill="1" applyAlignment="1">
      <alignment wrapText="1"/>
    </xf>
    <xf numFmtId="0" fontId="36" fillId="14" borderId="0" xfId="0" applyFont="1" applyFill="1" applyBorder="1" applyAlignment="1">
      <alignment horizontal="right" vertical="center" wrapText="1"/>
    </xf>
    <xf numFmtId="0" fontId="36" fillId="0" borderId="0" xfId="0" applyFont="1" applyAlignment="1">
      <alignment horizontal="right" wrapText="1"/>
    </xf>
    <xf numFmtId="0" fontId="15" fillId="13" borderId="0" xfId="0" applyFont="1" applyFill="1" applyAlignment="1">
      <alignment horizontal="center" vertical="center" wrapText="1"/>
    </xf>
    <xf numFmtId="0" fontId="10" fillId="10" borderId="24" xfId="0" applyFont="1" applyFill="1" applyBorder="1" applyAlignment="1">
      <alignment horizontal="center" vertical="center" wrapText="1"/>
    </xf>
    <xf numFmtId="0" fontId="20" fillId="10" borderId="25" xfId="0" applyFont="1" applyFill="1" applyBorder="1" applyAlignment="1">
      <alignment horizontal="left" vertical="center" wrapText="1"/>
    </xf>
    <xf numFmtId="0" fontId="20" fillId="10" borderId="26" xfId="0" applyFont="1" applyFill="1" applyBorder="1" applyAlignment="1">
      <alignment horizontal="left" vertical="center" wrapText="1"/>
    </xf>
    <xf numFmtId="0" fontId="10" fillId="10" borderId="27"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0" borderId="28" xfId="0" applyFont="1" applyFill="1" applyBorder="1" applyAlignment="1">
      <alignment horizontal="center" vertical="center"/>
    </xf>
    <xf numFmtId="0" fontId="10" fillId="10" borderId="27" xfId="0" applyFont="1" applyFill="1" applyBorder="1" applyAlignment="1">
      <alignment horizontal="center" vertical="center"/>
    </xf>
    <xf numFmtId="0" fontId="12" fillId="18" borderId="29" xfId="0" applyFont="1" applyFill="1" applyBorder="1" applyAlignment="1">
      <alignment horizontal="center" wrapText="1"/>
    </xf>
    <xf numFmtId="0" fontId="22" fillId="18" borderId="28" xfId="0" applyFont="1" applyFill="1" applyBorder="1" applyAlignment="1">
      <alignment horizontal="center" vertical="center" wrapText="1"/>
    </xf>
    <xf numFmtId="0" fontId="4" fillId="0" borderId="28" xfId="0" applyFont="1" applyBorder="1"/>
    <xf numFmtId="0" fontId="12" fillId="18" borderId="28" xfId="0" applyFont="1" applyFill="1" applyBorder="1" applyAlignment="1">
      <alignment horizontal="center" wrapText="1"/>
    </xf>
    <xf numFmtId="0" fontId="39" fillId="18" borderId="28" xfId="1" applyFont="1" applyFill="1" applyBorder="1" applyAlignment="1">
      <alignment horizontal="center" vertical="center" wrapText="1"/>
    </xf>
    <xf numFmtId="0" fontId="12" fillId="18" borderId="28" xfId="0" applyFont="1" applyFill="1" applyBorder="1" applyAlignment="1">
      <alignment vertical="center" wrapText="1"/>
    </xf>
    <xf numFmtId="0" fontId="10" fillId="10" borderId="30" xfId="0" applyFont="1" applyFill="1" applyBorder="1" applyAlignment="1">
      <alignment horizontal="center" vertical="center"/>
    </xf>
    <xf numFmtId="0" fontId="12" fillId="18" borderId="31" xfId="0" applyFont="1" applyFill="1" applyBorder="1" applyAlignment="1">
      <alignment vertical="center" wrapText="1"/>
    </xf>
    <xf numFmtId="0" fontId="29" fillId="18" borderId="32" xfId="1" applyFont="1" applyFill="1" applyBorder="1" applyAlignment="1">
      <alignment horizontal="center" vertical="center" wrapText="1"/>
    </xf>
    <xf numFmtId="0" fontId="20" fillId="10" borderId="24" xfId="0" applyFont="1" applyFill="1" applyBorder="1" applyAlignment="1">
      <alignment horizontal="left" vertical="center" wrapText="1"/>
    </xf>
    <xf numFmtId="0" fontId="11" fillId="0" borderId="33" xfId="0" applyFont="1" applyBorder="1" applyAlignment="1">
      <alignment horizontal="center" vertical="center"/>
    </xf>
    <xf numFmtId="0" fontId="11" fillId="0" borderId="34" xfId="0" applyFont="1" applyBorder="1" applyAlignment="1">
      <alignment horizontal="center" vertical="center"/>
    </xf>
    <xf numFmtId="0" fontId="11" fillId="0" borderId="34" xfId="0" applyFont="1" applyBorder="1" applyAlignment="1">
      <alignment horizontal="center" vertical="center" wrapText="1"/>
    </xf>
    <xf numFmtId="0" fontId="11" fillId="0" borderId="35" xfId="0" applyFont="1" applyBorder="1" applyAlignment="1">
      <alignment horizontal="center" vertical="center" wrapText="1"/>
    </xf>
    <xf numFmtId="0" fontId="6" fillId="5" borderId="14" xfId="0" applyFont="1" applyFill="1" applyBorder="1" applyAlignment="1">
      <alignment horizontal="left" vertical="center" wrapText="1"/>
    </xf>
    <xf numFmtId="0" fontId="11" fillId="0" borderId="36" xfId="0" applyFont="1" applyBorder="1" applyAlignment="1">
      <alignment horizontal="center" vertical="center" wrapText="1"/>
    </xf>
    <xf numFmtId="0" fontId="11" fillId="0" borderId="37" xfId="0" applyFont="1" applyBorder="1" applyAlignment="1">
      <alignment horizontal="center" vertical="center" wrapText="1"/>
    </xf>
    <xf numFmtId="0" fontId="11" fillId="0" borderId="39" xfId="0" applyFont="1" applyBorder="1" applyAlignment="1">
      <alignment horizontal="center" vertical="center" wrapText="1"/>
    </xf>
    <xf numFmtId="0" fontId="4" fillId="0" borderId="0" xfId="0" applyFont="1" applyAlignment="1"/>
    <xf numFmtId="0" fontId="4" fillId="0" borderId="0" xfId="0" applyFont="1" applyAlignment="1">
      <alignment horizontal="center"/>
    </xf>
    <xf numFmtId="0" fontId="9" fillId="10" borderId="24" xfId="0" applyFont="1" applyFill="1" applyBorder="1" applyAlignment="1">
      <alignment horizontal="center" vertical="center"/>
    </xf>
    <xf numFmtId="0" fontId="10" fillId="10" borderId="27" xfId="0" applyFont="1" applyFill="1" applyBorder="1" applyAlignment="1">
      <alignment horizontal="center"/>
    </xf>
    <xf numFmtId="0" fontId="12" fillId="14" borderId="7" xfId="0" applyFont="1" applyFill="1" applyBorder="1" applyAlignment="1">
      <alignment horizontal="right" vertical="center" wrapText="1"/>
    </xf>
    <xf numFmtId="0" fontId="12" fillId="4" borderId="6" xfId="0" applyFont="1" applyFill="1" applyBorder="1" applyAlignment="1">
      <alignment horizontal="right" vertical="center" wrapText="1"/>
    </xf>
    <xf numFmtId="0" fontId="12" fillId="7" borderId="6" xfId="0" applyFont="1" applyFill="1" applyBorder="1" applyAlignment="1">
      <alignment horizontal="right" vertical="center"/>
    </xf>
    <xf numFmtId="0" fontId="12" fillId="15" borderId="6" xfId="0" applyFont="1" applyFill="1" applyBorder="1" applyAlignment="1">
      <alignment horizontal="right" vertical="center" wrapText="1"/>
    </xf>
    <xf numFmtId="0" fontId="12" fillId="17" borderId="6" xfId="0" applyFont="1" applyFill="1" applyBorder="1" applyAlignment="1">
      <alignment horizontal="right" vertical="center" wrapText="1"/>
    </xf>
    <xf numFmtId="0" fontId="12" fillId="9" borderId="6" xfId="0" applyFont="1" applyFill="1" applyBorder="1" applyAlignment="1">
      <alignment horizontal="right" vertical="center"/>
    </xf>
    <xf numFmtId="0" fontId="12" fillId="16" borderId="6" xfId="0" applyFont="1" applyFill="1" applyBorder="1" applyAlignment="1">
      <alignment horizontal="right" vertical="center"/>
    </xf>
    <xf numFmtId="0" fontId="12" fillId="6" borderId="6" xfId="0" applyFont="1" applyFill="1" applyBorder="1" applyAlignment="1">
      <alignment horizontal="right" vertical="center" wrapText="1"/>
    </xf>
    <xf numFmtId="0" fontId="12" fillId="8" borderId="6" xfId="0" applyFont="1" applyFill="1" applyBorder="1" applyAlignment="1">
      <alignment horizontal="right" vertical="center" wrapText="1"/>
    </xf>
    <xf numFmtId="0" fontId="21" fillId="10" borderId="0" xfId="0" applyFont="1" applyFill="1" applyAlignment="1">
      <alignment horizontal="center" vertical="center"/>
    </xf>
    <xf numFmtId="0" fontId="21" fillId="10" borderId="5" xfId="0" applyFont="1" applyFill="1" applyBorder="1" applyAlignment="1">
      <alignment horizontal="center" vertical="center"/>
    </xf>
    <xf numFmtId="0" fontId="12" fillId="14" borderId="1" xfId="0" applyFont="1" applyFill="1" applyBorder="1" applyAlignment="1">
      <alignment vertical="center" wrapText="1"/>
    </xf>
    <xf numFmtId="0" fontId="12" fillId="4" borderId="1" xfId="0" applyFont="1" applyFill="1" applyBorder="1" applyAlignment="1">
      <alignment vertical="center" wrapText="1"/>
    </xf>
    <xf numFmtId="0" fontId="12" fillId="7" borderId="1" xfId="0" applyFont="1" applyFill="1" applyBorder="1" applyAlignment="1">
      <alignment vertical="center" wrapText="1"/>
    </xf>
    <xf numFmtId="0" fontId="12" fillId="15" borderId="1" xfId="0" applyFont="1" applyFill="1" applyBorder="1" applyAlignment="1">
      <alignment vertical="center" wrapText="1"/>
    </xf>
    <xf numFmtId="0" fontId="12" fillId="17" borderId="1" xfId="0" applyFont="1" applyFill="1" applyBorder="1" applyAlignment="1">
      <alignment vertical="center" wrapText="1"/>
    </xf>
    <xf numFmtId="0" fontId="12" fillId="9" borderId="1" xfId="0" applyFont="1" applyFill="1" applyBorder="1" applyAlignment="1">
      <alignment vertical="center" wrapText="1"/>
    </xf>
    <xf numFmtId="0" fontId="12" fillId="16" borderId="1" xfId="0" applyFont="1" applyFill="1" applyBorder="1" applyAlignment="1">
      <alignment vertical="center" wrapText="1"/>
    </xf>
    <xf numFmtId="0" fontId="12" fillId="6" borderId="1" xfId="0" applyFont="1" applyFill="1" applyBorder="1" applyAlignment="1">
      <alignment vertical="center" wrapText="1"/>
    </xf>
    <xf numFmtId="0" fontId="12" fillId="8" borderId="1" xfId="0" applyFont="1" applyFill="1" applyBorder="1" applyAlignment="1">
      <alignment vertical="center" wrapText="1"/>
    </xf>
    <xf numFmtId="0" fontId="21" fillId="10" borderId="0" xfId="0" applyFont="1" applyFill="1" applyAlignment="1">
      <alignment horizontal="right" vertical="center" wrapText="1"/>
    </xf>
    <xf numFmtId="0" fontId="21" fillId="10" borderId="5" xfId="0" applyFont="1" applyFill="1" applyBorder="1" applyAlignment="1">
      <alignment horizontal="right" vertical="center"/>
    </xf>
    <xf numFmtId="0" fontId="21" fillId="13" borderId="0" xfId="0" applyFont="1" applyFill="1" applyAlignment="1">
      <alignment horizontal="center" vertical="center" wrapText="1"/>
    </xf>
    <xf numFmtId="0" fontId="40" fillId="13" borderId="0" xfId="0" applyFont="1" applyFill="1" applyAlignment="1">
      <alignment horizontal="center" vertical="center" wrapText="1"/>
    </xf>
    <xf numFmtId="0" fontId="7" fillId="13" borderId="0" xfId="0" applyFont="1" applyFill="1" applyAlignment="1">
      <alignment horizontal="center" wrapText="1"/>
    </xf>
    <xf numFmtId="0" fontId="3" fillId="0" borderId="0" xfId="0" applyFont="1" applyAlignment="1">
      <alignment horizontal="center" wrapText="1"/>
    </xf>
    <xf numFmtId="0" fontId="37" fillId="13" borderId="14" xfId="0" applyFont="1" applyFill="1" applyBorder="1" applyAlignment="1">
      <alignment vertical="center" wrapText="1"/>
    </xf>
    <xf numFmtId="0" fontId="35" fillId="0" borderId="0" xfId="0" applyFont="1" applyAlignment="1">
      <alignment wrapText="1"/>
    </xf>
    <xf numFmtId="0" fontId="35" fillId="0" borderId="0" xfId="0" applyFont="1" applyBorder="1" applyAlignment="1">
      <alignment horizontal="left" vertical="center" wrapText="1"/>
    </xf>
    <xf numFmtId="0" fontId="37" fillId="13" borderId="16" xfId="0" applyFont="1" applyFill="1" applyBorder="1" applyAlignment="1">
      <alignment vertical="center" wrapText="1"/>
    </xf>
    <xf numFmtId="0" fontId="35" fillId="0" borderId="0" xfId="0" applyFont="1" applyAlignment="1">
      <alignment vertical="center" wrapText="1"/>
    </xf>
    <xf numFmtId="0" fontId="35" fillId="0" borderId="0" xfId="0" applyFont="1" applyBorder="1" applyAlignment="1">
      <alignment vertical="center" wrapText="1"/>
    </xf>
    <xf numFmtId="0" fontId="37" fillId="13" borderId="15" xfId="0" applyFont="1" applyFill="1" applyBorder="1" applyAlignment="1">
      <alignment vertical="center" wrapText="1"/>
    </xf>
    <xf numFmtId="0" fontId="35" fillId="0" borderId="0" xfId="0" applyFont="1" applyAlignment="1">
      <alignment horizontal="left" wrapText="1"/>
    </xf>
    <xf numFmtId="0" fontId="37" fillId="10" borderId="0" xfId="0" applyFont="1" applyFill="1" applyBorder="1" applyAlignment="1">
      <alignment horizontal="right"/>
    </xf>
    <xf numFmtId="0" fontId="37" fillId="10" borderId="0" xfId="0" applyFont="1" applyFill="1" applyBorder="1" applyAlignment="1">
      <alignment horizontal="center"/>
    </xf>
    <xf numFmtId="0" fontId="37" fillId="0" borderId="0" xfId="0" applyFont="1" applyAlignment="1">
      <alignment vertical="center"/>
    </xf>
    <xf numFmtId="0" fontId="37" fillId="10" borderId="0" xfId="0" applyFont="1" applyFill="1" applyBorder="1" applyAlignment="1">
      <alignment horizontal="right" vertical="center"/>
    </xf>
    <xf numFmtId="14" fontId="37" fillId="10" borderId="0" xfId="0" applyNumberFormat="1" applyFont="1" applyFill="1" applyBorder="1" applyAlignment="1">
      <alignment horizontal="center" vertical="center"/>
    </xf>
    <xf numFmtId="0" fontId="37" fillId="10" borderId="0" xfId="0" applyFont="1" applyFill="1" applyBorder="1" applyAlignment="1">
      <alignment horizontal="center" vertical="center"/>
    </xf>
    <xf numFmtId="0" fontId="37" fillId="0" borderId="0" xfId="0" applyFont="1" applyAlignment="1">
      <alignment horizontal="right"/>
    </xf>
    <xf numFmtId="0" fontId="37" fillId="0" borderId="0" xfId="0" applyFont="1" applyAlignment="1">
      <alignment horizontal="center"/>
    </xf>
    <xf numFmtId="0" fontId="37" fillId="0" borderId="0" xfId="0" applyFont="1"/>
    <xf numFmtId="0" fontId="35" fillId="0" borderId="0" xfId="0" applyFont="1" applyAlignment="1">
      <alignment horizontal="center" vertical="center" wrapText="1"/>
    </xf>
    <xf numFmtId="0" fontId="35" fillId="0" borderId="0" xfId="0" applyFont="1" applyAlignment="1">
      <alignment vertical="center"/>
    </xf>
    <xf numFmtId="0" fontId="15" fillId="13" borderId="42" xfId="0" applyFont="1" applyFill="1" applyBorder="1" applyAlignment="1">
      <alignment horizontal="center" vertical="center" wrapText="1"/>
    </xf>
    <xf numFmtId="0" fontId="15" fillId="13" borderId="43" xfId="0" applyFont="1" applyFill="1" applyBorder="1" applyAlignment="1">
      <alignment horizontal="center" vertical="center" wrapText="1"/>
    </xf>
    <xf numFmtId="0" fontId="15" fillId="13" borderId="44" xfId="0" applyFont="1" applyFill="1" applyBorder="1" applyAlignment="1">
      <alignment horizontal="center" vertical="center" wrapText="1"/>
    </xf>
    <xf numFmtId="0" fontId="12" fillId="0" borderId="0" xfId="0" applyFont="1" applyAlignment="1">
      <alignment horizontal="center" vertical="center" wrapText="1"/>
    </xf>
    <xf numFmtId="0" fontId="38" fillId="0" borderId="45" xfId="0" applyFont="1" applyBorder="1" applyAlignment="1">
      <alignment vertical="center" wrapText="1"/>
    </xf>
    <xf numFmtId="0" fontId="12" fillId="0" borderId="12" xfId="0" applyFont="1" applyBorder="1" applyAlignment="1">
      <alignment vertical="center" wrapText="1"/>
    </xf>
    <xf numFmtId="0" fontId="12" fillId="0" borderId="46" xfId="0" applyFont="1" applyBorder="1" applyAlignment="1">
      <alignment vertical="center" wrapText="1"/>
    </xf>
    <xf numFmtId="0" fontId="12" fillId="0" borderId="10" xfId="0" applyFont="1" applyBorder="1" applyAlignment="1">
      <alignment vertical="center" wrapText="1"/>
    </xf>
    <xf numFmtId="0" fontId="12" fillId="0" borderId="47" xfId="0" applyFont="1" applyBorder="1" applyAlignment="1">
      <alignment vertical="center" wrapText="1"/>
    </xf>
    <xf numFmtId="0" fontId="12" fillId="0" borderId="45" xfId="0" applyFont="1" applyBorder="1" applyAlignment="1">
      <alignment vertical="center" wrapText="1"/>
    </xf>
    <xf numFmtId="0" fontId="12" fillId="0" borderId="48" xfId="0" applyFont="1" applyBorder="1" applyAlignment="1">
      <alignment vertical="center" wrapText="1"/>
    </xf>
    <xf numFmtId="0" fontId="12" fillId="0" borderId="49" xfId="0" applyFont="1" applyBorder="1" applyAlignment="1">
      <alignment vertical="center" wrapText="1"/>
    </xf>
    <xf numFmtId="0" fontId="12" fillId="0" borderId="50" xfId="0" applyFont="1" applyBorder="1" applyAlignment="1">
      <alignment vertical="center" wrapText="1"/>
    </xf>
    <xf numFmtId="0" fontId="12" fillId="0" borderId="15" xfId="0" applyFont="1" applyBorder="1" applyAlignment="1">
      <alignment vertical="center" wrapText="1"/>
    </xf>
    <xf numFmtId="0" fontId="37" fillId="13" borderId="40" xfId="0" applyFont="1" applyFill="1" applyBorder="1" applyAlignment="1">
      <alignment horizontal="center" wrapText="1"/>
    </xf>
    <xf numFmtId="0" fontId="37" fillId="13" borderId="41" xfId="0" applyFont="1" applyFill="1" applyBorder="1" applyAlignment="1">
      <alignment horizontal="center" wrapText="1"/>
    </xf>
    <xf numFmtId="0" fontId="37" fillId="13" borderId="19" xfId="0" applyFont="1" applyFill="1" applyBorder="1" applyAlignment="1">
      <alignment horizontal="center" wrapText="1"/>
    </xf>
    <xf numFmtId="0" fontId="36" fillId="0" borderId="0" xfId="0" applyFont="1" applyAlignment="1">
      <alignment horizontal="center" wrapText="1"/>
    </xf>
    <xf numFmtId="0" fontId="36" fillId="0" borderId="20" xfId="0" applyFont="1" applyBorder="1" applyAlignment="1">
      <alignment horizontal="center" vertical="center" wrapText="1"/>
    </xf>
    <xf numFmtId="0" fontId="35" fillId="0" borderId="21" xfId="0" applyFont="1" applyBorder="1" applyAlignment="1">
      <alignment horizontal="right" vertical="center" wrapText="1"/>
    </xf>
    <xf numFmtId="0" fontId="35" fillId="0" borderId="1" xfId="0" applyFont="1" applyBorder="1" applyAlignment="1">
      <alignment horizontal="center" vertical="center" wrapText="1"/>
    </xf>
    <xf numFmtId="0" fontId="34" fillId="0" borderId="1" xfId="1" applyFont="1" applyFill="1" applyBorder="1" applyAlignment="1">
      <alignment vertical="center"/>
    </xf>
    <xf numFmtId="0" fontId="36" fillId="0" borderId="17" xfId="0" applyFont="1" applyBorder="1" applyAlignment="1">
      <alignment horizontal="right" vertical="center" wrapText="1"/>
    </xf>
    <xf numFmtId="0" fontId="35" fillId="0" borderId="18" xfId="0" applyFont="1" applyBorder="1" applyAlignment="1">
      <alignment horizontal="right" vertical="center" wrapText="1"/>
    </xf>
    <xf numFmtId="15" fontId="35" fillId="0" borderId="1" xfId="0" applyNumberFormat="1" applyFont="1" applyBorder="1" applyAlignment="1">
      <alignment horizontal="center" vertical="center" wrapText="1"/>
    </xf>
    <xf numFmtId="0" fontId="34" fillId="0" borderId="1" xfId="1" applyFont="1" applyBorder="1" applyAlignment="1">
      <alignment vertical="center" wrapText="1"/>
    </xf>
    <xf numFmtId="17" fontId="35" fillId="0" borderId="1" xfId="0" applyNumberFormat="1" applyFont="1" applyBorder="1" applyAlignment="1">
      <alignment horizontal="center" vertical="center" wrapText="1"/>
    </xf>
    <xf numFmtId="0" fontId="36" fillId="0" borderId="18" xfId="0" applyFont="1" applyBorder="1" applyAlignment="1">
      <alignment horizontal="right" vertical="center" wrapText="1"/>
    </xf>
    <xf numFmtId="0" fontId="34" fillId="0" borderId="1" xfId="1" applyFont="1" applyFill="1" applyBorder="1" applyAlignment="1">
      <alignment vertical="center" wrapText="1"/>
    </xf>
    <xf numFmtId="0" fontId="36" fillId="0" borderId="22" xfId="0" applyFont="1" applyBorder="1" applyAlignment="1">
      <alignment horizontal="right" vertical="center" wrapText="1"/>
    </xf>
    <xf numFmtId="0" fontId="35" fillId="0" borderId="23" xfId="0" applyFont="1" applyBorder="1" applyAlignment="1">
      <alignment horizontal="right" vertical="center" wrapText="1"/>
    </xf>
    <xf numFmtId="0" fontId="35" fillId="0" borderId="3" xfId="0" applyFont="1" applyBorder="1" applyAlignment="1">
      <alignment horizontal="center" vertical="center" wrapText="1"/>
    </xf>
    <xf numFmtId="0" fontId="35" fillId="0" borderId="11" xfId="0" applyFont="1" applyBorder="1" applyAlignment="1">
      <alignment vertical="center" wrapText="1"/>
    </xf>
    <xf numFmtId="0" fontId="35" fillId="0" borderId="0" xfId="0" applyFont="1"/>
    <xf numFmtId="0" fontId="13" fillId="7" borderId="1" xfId="0" applyFont="1" applyFill="1" applyBorder="1" applyAlignment="1">
      <alignment horizontal="center" vertical="center" wrapText="1"/>
    </xf>
    <xf numFmtId="0" fontId="12" fillId="0" borderId="0" xfId="0" applyFont="1"/>
    <xf numFmtId="0" fontId="12" fillId="0" borderId="1" xfId="0" applyFont="1" applyBorder="1" applyAlignment="1">
      <alignment horizontal="left" vertical="center" wrapText="1"/>
    </xf>
    <xf numFmtId="0" fontId="12" fillId="0" borderId="0" xfId="0" applyFont="1" applyAlignment="1">
      <alignment wrapText="1"/>
    </xf>
    <xf numFmtId="0" fontId="12" fillId="0" borderId="2" xfId="0" applyFont="1" applyBorder="1" applyAlignment="1">
      <alignment vertical="center" wrapText="1"/>
    </xf>
    <xf numFmtId="0" fontId="12" fillId="11" borderId="12" xfId="0" applyFont="1" applyFill="1" applyBorder="1" applyAlignment="1">
      <alignment vertical="center" wrapText="1"/>
    </xf>
    <xf numFmtId="0" fontId="12" fillId="2" borderId="13" xfId="0" applyFont="1" applyFill="1" applyBorder="1" applyAlignment="1">
      <alignment vertical="center" wrapText="1"/>
    </xf>
    <xf numFmtId="0" fontId="12" fillId="9" borderId="10" xfId="0" applyFont="1" applyFill="1" applyBorder="1" applyAlignment="1">
      <alignment vertical="center" wrapText="1"/>
    </xf>
    <xf numFmtId="0" fontId="12" fillId="11" borderId="10" xfId="0" applyFont="1" applyFill="1" applyBorder="1" applyAlignment="1">
      <alignment vertical="center" wrapText="1"/>
    </xf>
    <xf numFmtId="0" fontId="12" fillId="2" borderId="10" xfId="0" applyFont="1" applyFill="1" applyBorder="1" applyAlignment="1">
      <alignment vertical="center" wrapText="1"/>
    </xf>
    <xf numFmtId="0" fontId="13" fillId="12" borderId="1" xfId="0" applyFont="1" applyFill="1" applyBorder="1" applyAlignment="1">
      <alignment vertical="center" wrapText="1"/>
    </xf>
    <xf numFmtId="0" fontId="13" fillId="12" borderId="10" xfId="0" applyFont="1" applyFill="1" applyBorder="1" applyAlignment="1">
      <alignment vertical="center"/>
    </xf>
    <xf numFmtId="0" fontId="12" fillId="12" borderId="1" xfId="0" applyFont="1" applyFill="1" applyBorder="1" applyAlignment="1">
      <alignment vertical="center" wrapText="1"/>
    </xf>
    <xf numFmtId="0" fontId="13" fillId="12" borderId="10" xfId="0" applyFont="1" applyFill="1" applyBorder="1" applyAlignment="1">
      <alignment horizontal="left" vertical="center"/>
    </xf>
    <xf numFmtId="0" fontId="13" fillId="2" borderId="10" xfId="0" applyFont="1" applyFill="1" applyBorder="1" applyAlignment="1">
      <alignment vertical="center" wrapText="1"/>
    </xf>
    <xf numFmtId="0" fontId="12" fillId="9" borderId="11" xfId="0" applyFont="1" applyFill="1" applyBorder="1" applyAlignment="1">
      <alignment vertical="center" wrapText="1"/>
    </xf>
    <xf numFmtId="0" fontId="12" fillId="0" borderId="1" xfId="0" applyFont="1" applyBorder="1" applyAlignment="1">
      <alignment horizontal="center" vertical="center"/>
    </xf>
    <xf numFmtId="0" fontId="12" fillId="0" borderId="1" xfId="0" applyFont="1" applyBorder="1" applyAlignment="1">
      <alignment horizontal="center" vertical="center" wrapText="1"/>
    </xf>
    <xf numFmtId="0" fontId="12" fillId="0" borderId="4" xfId="0" applyFont="1" applyBorder="1" applyAlignment="1">
      <alignment vertical="center" wrapText="1"/>
    </xf>
    <xf numFmtId="0" fontId="13" fillId="0" borderId="1" xfId="0" applyFont="1" applyBorder="1" applyAlignment="1">
      <alignment vertical="center" wrapText="1"/>
    </xf>
    <xf numFmtId="0" fontId="12" fillId="0" borderId="1" xfId="0" applyFont="1" applyBorder="1" applyAlignment="1">
      <alignment vertical="center"/>
    </xf>
    <xf numFmtId="0" fontId="12" fillId="0" borderId="0" xfId="0" applyFont="1" applyAlignment="1">
      <alignment horizontal="center" vertical="center"/>
    </xf>
    <xf numFmtId="0" fontId="14" fillId="13" borderId="0" xfId="0" applyFont="1" applyFill="1" applyAlignment="1">
      <alignment horizontal="center" wrapText="1"/>
    </xf>
    <xf numFmtId="0" fontId="13" fillId="0" borderId="0" xfId="0" applyFont="1" applyAlignment="1">
      <alignment horizontal="center" wrapText="1"/>
    </xf>
    <xf numFmtId="0" fontId="15" fillId="13" borderId="0" xfId="0" applyFont="1" applyFill="1" applyAlignment="1">
      <alignment horizontal="center" wrapText="1"/>
    </xf>
    <xf numFmtId="0" fontId="15" fillId="13" borderId="5" xfId="0" applyFont="1" applyFill="1" applyBorder="1" applyAlignment="1">
      <alignment horizontal="center" wrapText="1"/>
    </xf>
    <xf numFmtId="0" fontId="12" fillId="0" borderId="0" xfId="0" applyFont="1" applyAlignment="1">
      <alignment horizontal="center" wrapText="1"/>
    </xf>
    <xf numFmtId="0" fontId="42" fillId="13" borderId="26" xfId="0" applyFont="1" applyFill="1" applyBorder="1" applyAlignment="1">
      <alignment wrapText="1"/>
    </xf>
    <xf numFmtId="0" fontId="42" fillId="13" borderId="28" xfId="0" applyFont="1" applyFill="1" applyBorder="1" applyAlignment="1">
      <alignment vertical="center" wrapText="1"/>
    </xf>
    <xf numFmtId="0" fontId="37" fillId="13" borderId="28" xfId="0" applyFont="1" applyFill="1" applyBorder="1" applyAlignment="1">
      <alignment vertical="center" wrapText="1"/>
    </xf>
    <xf numFmtId="0" fontId="44" fillId="13" borderId="28" xfId="0" applyFont="1" applyFill="1" applyBorder="1" applyAlignment="1">
      <alignment vertical="center" wrapText="1"/>
    </xf>
    <xf numFmtId="0" fontId="42" fillId="13" borderId="28" xfId="0" applyFont="1" applyFill="1" applyBorder="1" applyAlignment="1">
      <alignment vertical="top" wrapText="1"/>
    </xf>
    <xf numFmtId="0" fontId="42" fillId="13" borderId="28" xfId="0" applyFont="1" applyFill="1" applyBorder="1" applyAlignment="1">
      <alignment horizontal="left" vertical="top" wrapText="1"/>
    </xf>
    <xf numFmtId="0" fontId="42" fillId="13" borderId="28" xfId="0" applyFont="1" applyFill="1" applyBorder="1" applyAlignment="1">
      <alignment horizontal="left" vertical="center" wrapText="1"/>
    </xf>
    <xf numFmtId="0" fontId="33" fillId="13" borderId="28" xfId="1" applyFont="1" applyFill="1" applyBorder="1" applyAlignment="1">
      <alignment horizontal="left" vertical="center" wrapText="1"/>
    </xf>
    <xf numFmtId="0" fontId="45" fillId="13" borderId="28" xfId="0" applyFont="1" applyFill="1" applyBorder="1" applyAlignment="1">
      <alignment vertical="center" wrapText="1"/>
    </xf>
    <xf numFmtId="0" fontId="44" fillId="13" borderId="28" xfId="0" applyFont="1" applyFill="1" applyBorder="1" applyAlignment="1">
      <alignment wrapText="1"/>
    </xf>
    <xf numFmtId="0" fontId="33" fillId="13" borderId="28" xfId="0" applyFont="1" applyFill="1" applyBorder="1" applyAlignment="1">
      <alignment wrapText="1"/>
    </xf>
    <xf numFmtId="0" fontId="42" fillId="13" borderId="31" xfId="0" applyFont="1" applyFill="1" applyBorder="1" applyAlignment="1">
      <alignment vertical="center" wrapText="1"/>
    </xf>
    <xf numFmtId="0" fontId="46" fillId="18" borderId="28" xfId="1" applyFont="1" applyFill="1" applyBorder="1" applyAlignment="1">
      <alignment horizontal="center" wrapText="1"/>
    </xf>
    <xf numFmtId="0" fontId="47" fillId="19" borderId="14" xfId="1" applyFont="1" applyFill="1" applyBorder="1" applyAlignment="1">
      <alignment horizontal="center" vertical="center" wrapText="1"/>
    </xf>
    <xf numFmtId="0" fontId="47" fillId="19" borderId="16" xfId="1" applyFont="1" applyFill="1" applyBorder="1" applyAlignment="1">
      <alignment horizontal="center" vertical="center" wrapText="1"/>
    </xf>
    <xf numFmtId="0" fontId="47" fillId="19" borderId="38" xfId="1" applyFont="1" applyFill="1" applyBorder="1" applyAlignment="1">
      <alignment horizontal="center" vertical="center" wrapText="1"/>
    </xf>
    <xf numFmtId="0" fontId="5" fillId="5" borderId="16" xfId="0" applyFont="1" applyFill="1" applyBorder="1" applyAlignment="1">
      <alignment horizontal="left" vertical="center" wrapText="1"/>
    </xf>
    <xf numFmtId="0" fontId="5" fillId="5" borderId="15" xfId="0" applyFont="1" applyFill="1" applyBorder="1" applyAlignment="1">
      <alignment horizontal="left" vertical="center" wrapText="1"/>
    </xf>
  </cellXfs>
  <cellStyles count="3">
    <cellStyle name="Hyperlink" xfId="1" builtinId="8"/>
    <cellStyle name="Normal" xfId="0" builtinId="0"/>
    <cellStyle name="Style 1" xfId="2" xr:uid="{0BF63173-C2F3-5042-8B03-CF5CACF52840}"/>
  </cellStyles>
  <dxfs count="41">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indexed="64"/>
          <bgColor rgb="FFFFC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patternType="solid">
          <fgColor indexed="64"/>
          <bgColor rgb="FFFFC000"/>
        </patternFill>
      </fill>
    </dxf>
    <dxf>
      <font>
        <color rgb="FF006100"/>
      </font>
      <fill>
        <patternFill>
          <bgColor rgb="FFC6EFCE"/>
        </patternFill>
      </fill>
    </dxf>
    <dxf>
      <font>
        <color rgb="FF9C0006"/>
      </font>
      <fill>
        <patternFill>
          <bgColor rgb="FFFFC7CE"/>
        </patternFill>
      </fill>
    </dxf>
    <dxf>
      <fill>
        <patternFill>
          <bgColor rgb="FFFFC000"/>
        </patternFill>
      </fill>
    </dxf>
    <dxf>
      <font>
        <color rgb="FF006100"/>
      </font>
      <fill>
        <patternFill>
          <bgColor rgb="FFC6EFCE"/>
        </patternFill>
      </fill>
    </dxf>
    <dxf>
      <font>
        <color rgb="FF9C0006"/>
      </font>
      <fill>
        <patternFill>
          <bgColor rgb="FFFFC7CE"/>
        </patternFill>
      </fill>
    </dxf>
    <dxf>
      <fill>
        <patternFill>
          <bgColor rgb="FFFFC000"/>
        </patternFill>
      </fill>
    </dxf>
    <dxf>
      <font>
        <color rgb="FF006100"/>
      </font>
      <fill>
        <patternFill>
          <bgColor rgb="FFC6EFCE"/>
        </patternFill>
      </fill>
    </dxf>
    <dxf>
      <font>
        <color rgb="FF9C0006"/>
      </font>
      <fill>
        <patternFill>
          <bgColor rgb="FFFFC7CE"/>
        </patternFill>
      </fill>
    </dxf>
    <dxf>
      <fill>
        <patternFill patternType="solid">
          <fgColor indexed="64"/>
          <bgColor rgb="FFFFC000"/>
        </patternFill>
      </fill>
    </dxf>
    <dxf>
      <font>
        <color rgb="FF006100"/>
      </font>
      <fill>
        <patternFill>
          <bgColor rgb="FFC6EFCE"/>
        </patternFill>
      </fill>
    </dxf>
    <dxf>
      <font>
        <color rgb="FF9C0006"/>
      </font>
      <fill>
        <patternFill>
          <bgColor rgb="FFFFC7CE"/>
        </patternFill>
      </fill>
    </dxf>
    <dxf>
      <fill>
        <patternFill>
          <bgColor rgb="FFFFC000"/>
        </patternFill>
      </fill>
    </dxf>
    <dxf>
      <font>
        <color rgb="FF006100"/>
      </font>
      <fill>
        <patternFill>
          <bgColor rgb="FFC6EFCE"/>
        </patternFill>
      </fill>
    </dxf>
    <dxf>
      <font>
        <color rgb="FF9C0006"/>
      </font>
      <fill>
        <patternFill>
          <bgColor rgb="FFFFC7CE"/>
        </patternFill>
      </fill>
    </dxf>
    <dxf>
      <fill>
        <patternFill patternType="solid">
          <fgColor indexed="64"/>
          <bgColor rgb="FFFFC000"/>
        </patternFill>
      </fill>
    </dxf>
    <dxf>
      <font>
        <color rgb="FF006100"/>
      </font>
      <fill>
        <patternFill>
          <bgColor rgb="FFC6EFCE"/>
        </patternFill>
      </fill>
    </dxf>
    <dxf>
      <font>
        <strike val="0"/>
        <outline val="0"/>
        <shadow val="0"/>
        <u val="none"/>
        <vertAlign val="baseline"/>
        <sz val="16"/>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6"/>
        <color theme="0"/>
        <name val="Arial"/>
        <family val="2"/>
        <scheme val="none"/>
      </font>
      <fill>
        <patternFill patternType="solid">
          <fgColor indexed="64"/>
          <bgColor rgb="FF215C99"/>
        </patternFill>
      </fill>
      <alignment horizontal="center" vertical="center" textRotation="0" wrapText="1" indent="0" justifyLastLine="0" shrinkToFit="0" readingOrder="0"/>
    </dxf>
    <dxf>
      <font>
        <strike val="0"/>
        <outline val="0"/>
        <shadow val="0"/>
        <u val="none"/>
        <vertAlign val="baseline"/>
        <sz val="16"/>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6"/>
        <color theme="1"/>
        <name val="Arial"/>
        <family val="2"/>
        <scheme val="none"/>
      </font>
      <fill>
        <patternFill patternType="solid">
          <fgColor indexed="64"/>
          <bgColor rgb="FF92D050"/>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6"/>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FFFDD2"/>
      <color rgb="FF215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The Tool (1.1)'!A1"/><Relationship Id="rId13" Type="http://schemas.openxmlformats.org/officeDocument/2006/relationships/hyperlink" Target="#'Version History'!A1"/><Relationship Id="rId3" Type="http://schemas.openxmlformats.org/officeDocument/2006/relationships/image" Target="../media/image3.svg"/><Relationship Id="rId7" Type="http://schemas.openxmlformats.org/officeDocument/2006/relationships/hyperlink" Target="#Definitions!A1"/><Relationship Id="rId12" Type="http://schemas.openxmlformats.org/officeDocument/2006/relationships/hyperlink" Target="#'Model Info'!A1"/><Relationship Id="rId2" Type="http://schemas.openxmlformats.org/officeDocument/2006/relationships/image" Target="../media/image2.png"/><Relationship Id="rId1" Type="http://schemas.openxmlformats.org/officeDocument/2006/relationships/hyperlink" Target="#Cover!A1"/><Relationship Id="rId6" Type="http://schemas.openxmlformats.org/officeDocument/2006/relationships/hyperlink" Target="#'About Project'!A1"/><Relationship Id="rId11" Type="http://schemas.openxmlformats.org/officeDocument/2006/relationships/hyperlink" Target="#Sources!A1"/><Relationship Id="rId5" Type="http://schemas.openxmlformats.org/officeDocument/2006/relationships/image" Target="../media/image5.svg"/><Relationship Id="rId10" Type="http://schemas.openxmlformats.org/officeDocument/2006/relationships/hyperlink" Target="#Examples!A1"/><Relationship Id="rId4" Type="http://schemas.openxmlformats.org/officeDocument/2006/relationships/image" Target="../media/image4.png"/><Relationship Id="rId9" Type="http://schemas.openxmlformats.org/officeDocument/2006/relationships/hyperlink" Target="#'Map Risk-Mitigation-Prompt'!A1"/></Relationships>
</file>

<file path=xl/drawings/_rels/drawing3.xml.rels><?xml version="1.0" encoding="UTF-8" standalone="yes"?>
<Relationships xmlns="http://schemas.openxmlformats.org/package/2006/relationships"><Relationship Id="rId8" Type="http://schemas.openxmlformats.org/officeDocument/2006/relationships/hyperlink" Target="#'Model Info'!A1"/><Relationship Id="rId3" Type="http://schemas.openxmlformats.org/officeDocument/2006/relationships/hyperlink" Target="#Definitions!A1"/><Relationship Id="rId7" Type="http://schemas.openxmlformats.org/officeDocument/2006/relationships/hyperlink" Target="#Sources!A1"/><Relationship Id="rId2" Type="http://schemas.openxmlformats.org/officeDocument/2006/relationships/hyperlink" Target="#Instructions!A1"/><Relationship Id="rId1" Type="http://schemas.openxmlformats.org/officeDocument/2006/relationships/hyperlink" Target="#Cover!A1"/><Relationship Id="rId6" Type="http://schemas.openxmlformats.org/officeDocument/2006/relationships/hyperlink" Target="#Examples!A1"/><Relationship Id="rId5" Type="http://schemas.openxmlformats.org/officeDocument/2006/relationships/hyperlink" Target="#'Map Risk-Mitigation-Prompt'!A1"/><Relationship Id="rId4" Type="http://schemas.openxmlformats.org/officeDocument/2006/relationships/hyperlink" Target="#'The Tool (1.1)'!A1"/><Relationship Id="rId9" Type="http://schemas.openxmlformats.org/officeDocument/2006/relationships/hyperlink" Target="#'Version History'!A1"/></Relationships>
</file>

<file path=xl/drawings/_rels/drawing4.xml.rels><?xml version="1.0" encoding="UTF-8" standalone="yes"?>
<Relationships xmlns="http://schemas.openxmlformats.org/package/2006/relationships"><Relationship Id="rId8" Type="http://schemas.openxmlformats.org/officeDocument/2006/relationships/hyperlink" Target="#'Model Info'!A1"/><Relationship Id="rId3" Type="http://schemas.openxmlformats.org/officeDocument/2006/relationships/hyperlink" Target="#'About Project'!A1"/><Relationship Id="rId7" Type="http://schemas.openxmlformats.org/officeDocument/2006/relationships/hyperlink" Target="#Sources!A1"/><Relationship Id="rId2" Type="http://schemas.openxmlformats.org/officeDocument/2006/relationships/hyperlink" Target="#Instructions!A1"/><Relationship Id="rId1" Type="http://schemas.openxmlformats.org/officeDocument/2006/relationships/hyperlink" Target="#Cover!A1"/><Relationship Id="rId6" Type="http://schemas.openxmlformats.org/officeDocument/2006/relationships/hyperlink" Target="#Examples!A1"/><Relationship Id="rId5" Type="http://schemas.openxmlformats.org/officeDocument/2006/relationships/hyperlink" Target="#'Map Risk-Mitigation-Prompt'!A1"/><Relationship Id="rId4" Type="http://schemas.openxmlformats.org/officeDocument/2006/relationships/hyperlink" Target="#'The Tool (1.1)'!A1"/><Relationship Id="rId9" Type="http://schemas.openxmlformats.org/officeDocument/2006/relationships/hyperlink" Target="#'Version History'!A1"/></Relationships>
</file>

<file path=xl/drawings/_rels/drawing5.xml.rels><?xml version="1.0" encoding="UTF-8" standalone="yes"?>
<Relationships xmlns="http://schemas.openxmlformats.org/package/2006/relationships"><Relationship Id="rId8" Type="http://schemas.openxmlformats.org/officeDocument/2006/relationships/hyperlink" Target="#'Map Risk-Mitigation-Prompt'!A1"/><Relationship Id="rId3" Type="http://schemas.openxmlformats.org/officeDocument/2006/relationships/hyperlink" Target="#Definitions!A1"/><Relationship Id="rId7" Type="http://schemas.openxmlformats.org/officeDocument/2006/relationships/hyperlink" Target="#Instructions!A1"/><Relationship Id="rId2" Type="http://schemas.openxmlformats.org/officeDocument/2006/relationships/hyperlink" Target="#'About Project'!A1"/><Relationship Id="rId1" Type="http://schemas.openxmlformats.org/officeDocument/2006/relationships/hyperlink" Target="#Cover!A1"/><Relationship Id="rId6" Type="http://schemas.openxmlformats.org/officeDocument/2006/relationships/hyperlink" Target="#'Version History'!A1"/><Relationship Id="rId5" Type="http://schemas.openxmlformats.org/officeDocument/2006/relationships/hyperlink" Target="#'Model Info'!A1"/><Relationship Id="rId4" Type="http://schemas.openxmlformats.org/officeDocument/2006/relationships/hyperlink" Target="#Sources!A1"/><Relationship Id="rId9" Type="http://schemas.openxmlformats.org/officeDocument/2006/relationships/hyperlink" Target="#Examples!A1"/></Relationships>
</file>

<file path=xl/drawings/_rels/drawing6.xml.rels><?xml version="1.0" encoding="UTF-8" standalone="yes"?>
<Relationships xmlns="http://schemas.openxmlformats.org/package/2006/relationships"><Relationship Id="rId8" Type="http://schemas.openxmlformats.org/officeDocument/2006/relationships/hyperlink" Target="#'Model Info'!A1"/><Relationship Id="rId3" Type="http://schemas.openxmlformats.org/officeDocument/2006/relationships/hyperlink" Target="#Sources!A1"/><Relationship Id="rId7" Type="http://schemas.openxmlformats.org/officeDocument/2006/relationships/hyperlink" Target="#Examples!A1"/><Relationship Id="rId2" Type="http://schemas.openxmlformats.org/officeDocument/2006/relationships/hyperlink" Target="#'Version History'!A1"/><Relationship Id="rId1" Type="http://schemas.openxmlformats.org/officeDocument/2006/relationships/hyperlink" Target="#Cover!A1"/><Relationship Id="rId6" Type="http://schemas.openxmlformats.org/officeDocument/2006/relationships/hyperlink" Target="#'The Tool (1.1)'!A1"/><Relationship Id="rId5" Type="http://schemas.openxmlformats.org/officeDocument/2006/relationships/hyperlink" Target="#Definitions!A1"/><Relationship Id="rId4" Type="http://schemas.openxmlformats.org/officeDocument/2006/relationships/hyperlink" Target="#'About Project'!A1"/><Relationship Id="rId9" Type="http://schemas.openxmlformats.org/officeDocument/2006/relationships/hyperlink" Target="#Instructions!A1"/></Relationships>
</file>

<file path=xl/drawings/_rels/drawing7.xml.rels><?xml version="1.0" encoding="UTF-8" standalone="yes"?>
<Relationships xmlns="http://schemas.openxmlformats.org/package/2006/relationships"><Relationship Id="rId8" Type="http://schemas.openxmlformats.org/officeDocument/2006/relationships/hyperlink" Target="#'Version History'!A1"/><Relationship Id="rId3" Type="http://schemas.openxmlformats.org/officeDocument/2006/relationships/hyperlink" Target="#'About Project'!A1"/><Relationship Id="rId7" Type="http://schemas.openxmlformats.org/officeDocument/2006/relationships/hyperlink" Target="#Sources!A1"/><Relationship Id="rId2" Type="http://schemas.openxmlformats.org/officeDocument/2006/relationships/hyperlink" Target="#Instructions!A1"/><Relationship Id="rId1" Type="http://schemas.openxmlformats.org/officeDocument/2006/relationships/hyperlink" Target="#Cover!A1"/><Relationship Id="rId6" Type="http://schemas.openxmlformats.org/officeDocument/2006/relationships/hyperlink" Target="#'Model Info'!A1"/><Relationship Id="rId5" Type="http://schemas.openxmlformats.org/officeDocument/2006/relationships/hyperlink" Target="#'The Tool (1.1)'!A1"/><Relationship Id="rId4" Type="http://schemas.openxmlformats.org/officeDocument/2006/relationships/hyperlink" Target="#Definitions!A1"/><Relationship Id="rId9" Type="http://schemas.openxmlformats.org/officeDocument/2006/relationships/hyperlink" Target="#'Map Risk-Mitigation-Prompt'!A1"/></Relationships>
</file>

<file path=xl/drawings/_rels/drawing8.xml.rels><?xml version="1.0" encoding="UTF-8" standalone="yes"?>
<Relationships xmlns="http://schemas.openxmlformats.org/package/2006/relationships"><Relationship Id="rId8" Type="http://schemas.openxmlformats.org/officeDocument/2006/relationships/hyperlink" Target="#'Version History'!A1"/><Relationship Id="rId3" Type="http://schemas.openxmlformats.org/officeDocument/2006/relationships/hyperlink" Target="#'About Project'!A1"/><Relationship Id="rId7" Type="http://schemas.openxmlformats.org/officeDocument/2006/relationships/hyperlink" Target="#Examples!A1"/><Relationship Id="rId2" Type="http://schemas.openxmlformats.org/officeDocument/2006/relationships/hyperlink" Target="#Instructions!A1"/><Relationship Id="rId1" Type="http://schemas.openxmlformats.org/officeDocument/2006/relationships/hyperlink" Target="#Cover!A1"/><Relationship Id="rId6" Type="http://schemas.openxmlformats.org/officeDocument/2006/relationships/hyperlink" Target="#'Map Risk-Mitigation-Prompt'!A1"/><Relationship Id="rId5" Type="http://schemas.openxmlformats.org/officeDocument/2006/relationships/hyperlink" Target="#'The Tool (1.1)'!A1"/><Relationship Id="rId4" Type="http://schemas.openxmlformats.org/officeDocument/2006/relationships/hyperlink" Target="#Definitions!A1"/><Relationship Id="rId9" Type="http://schemas.openxmlformats.org/officeDocument/2006/relationships/hyperlink" Target="#'Model Info'!A1"/></Relationships>
</file>

<file path=xl/drawings/_rels/drawing9.xml.rels><?xml version="1.0" encoding="UTF-8" standalone="yes"?>
<Relationships xmlns="http://schemas.openxmlformats.org/package/2006/relationships"><Relationship Id="rId8" Type="http://schemas.openxmlformats.org/officeDocument/2006/relationships/hyperlink" Target="#'Version History'!A1"/><Relationship Id="rId3" Type="http://schemas.openxmlformats.org/officeDocument/2006/relationships/hyperlink" Target="#'About Project'!A1"/><Relationship Id="rId7" Type="http://schemas.openxmlformats.org/officeDocument/2006/relationships/hyperlink" Target="#Examples!A1"/><Relationship Id="rId2" Type="http://schemas.openxmlformats.org/officeDocument/2006/relationships/hyperlink" Target="#Instructions!A1"/><Relationship Id="rId1" Type="http://schemas.openxmlformats.org/officeDocument/2006/relationships/hyperlink" Target="#Cover!A1"/><Relationship Id="rId6" Type="http://schemas.openxmlformats.org/officeDocument/2006/relationships/hyperlink" Target="#'Map Risk-Mitigation-Prompt'!A1"/><Relationship Id="rId5" Type="http://schemas.openxmlformats.org/officeDocument/2006/relationships/hyperlink" Target="#'The Tool (1.1)'!A1"/><Relationship Id="rId4" Type="http://schemas.openxmlformats.org/officeDocument/2006/relationships/hyperlink" Target="#Definitions!A1"/><Relationship Id="rId9" Type="http://schemas.openxmlformats.org/officeDocument/2006/relationships/hyperlink" Target="#Sources!A1"/></Relationships>
</file>

<file path=xl/drawings/_rels/drawing10.xml.rels><?xml version="1.0" encoding="UTF-8" standalone="yes"?>
<Relationships xmlns="http://schemas.openxmlformats.org/package/2006/relationships"><Relationship Id="rId8" Type="http://schemas.openxmlformats.org/officeDocument/2006/relationships/hyperlink" Target="#Instructions!A1"/><Relationship Id="rId3" Type="http://schemas.openxmlformats.org/officeDocument/2006/relationships/hyperlink" Target="#Sources!A1"/><Relationship Id="rId7" Type="http://schemas.openxmlformats.org/officeDocument/2006/relationships/hyperlink" Target="#'About Project'!A1"/><Relationship Id="rId2" Type="http://schemas.openxmlformats.org/officeDocument/2006/relationships/hyperlink" Target="#'Model Info'!A1"/><Relationship Id="rId1" Type="http://schemas.openxmlformats.org/officeDocument/2006/relationships/hyperlink" Target="#Cover!A1"/><Relationship Id="rId6" Type="http://schemas.openxmlformats.org/officeDocument/2006/relationships/hyperlink" Target="#Definitions!A1"/><Relationship Id="rId5" Type="http://schemas.openxmlformats.org/officeDocument/2006/relationships/hyperlink" Target="#'The Tool (1.1)'!A1"/><Relationship Id="rId4" Type="http://schemas.openxmlformats.org/officeDocument/2006/relationships/hyperlink" Target="#Examples!A1"/><Relationship Id="rId9" Type="http://schemas.openxmlformats.org/officeDocument/2006/relationships/hyperlink" Target="#'Map Risk-Mitigation-Prompt'!A1"/></Relationships>
</file>

<file path=xl/drawings/drawing1.xml><?xml version="1.0" encoding="utf-8"?>
<xdr:wsDr xmlns:xdr="http://schemas.openxmlformats.org/drawingml/2006/spreadsheetDrawing" xmlns:a="http://schemas.openxmlformats.org/drawingml/2006/main">
  <xdr:twoCellAnchor editAs="oneCell">
    <xdr:from>
      <xdr:col>0</xdr:col>
      <xdr:colOff>704143</xdr:colOff>
      <xdr:row>1</xdr:row>
      <xdr:rowOff>1059744</xdr:rowOff>
    </xdr:from>
    <xdr:to>
      <xdr:col>1</xdr:col>
      <xdr:colOff>1933798</xdr:colOff>
      <xdr:row>3</xdr:row>
      <xdr:rowOff>596900</xdr:rowOff>
    </xdr:to>
    <xdr:pic>
      <xdr:nvPicPr>
        <xdr:cNvPr id="5" name="Picture 4">
          <a:extLst>
            <a:ext uri="{FF2B5EF4-FFF2-40B4-BE49-F238E27FC236}">
              <a16:creationId xmlns:a16="http://schemas.microsoft.com/office/drawing/2014/main" id="{788B4092-8132-D289-E128-54CCE096D1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4143" y="3091744"/>
          <a:ext cx="2055155" cy="20644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105835</xdr:colOff>
      <xdr:row>0</xdr:row>
      <xdr:rowOff>63500</xdr:rowOff>
    </xdr:from>
    <xdr:to>
      <xdr:col>0</xdr:col>
      <xdr:colOff>994833</xdr:colOff>
      <xdr:row>0</xdr:row>
      <xdr:rowOff>306917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6644929-1239-1317-8B0A-A454295A69EA}"/>
            </a:ext>
          </a:extLst>
        </xdr:cNvPr>
        <xdr:cNvSpPr/>
      </xdr:nvSpPr>
      <xdr:spPr>
        <a:xfrm>
          <a:off x="105835" y="63500"/>
          <a:ext cx="888998" cy="24341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chemeClr val="accent1"/>
              </a:solidFill>
            </a:rPr>
            <a:t>Back to Menu</a:t>
          </a:r>
        </a:p>
      </xdr:txBody>
    </xdr:sp>
    <xdr:clientData/>
  </xdr:twoCellAnchor>
  <xdr:twoCellAnchor editAs="oneCell">
    <xdr:from>
      <xdr:col>3</xdr:col>
      <xdr:colOff>1428751</xdr:colOff>
      <xdr:row>3</xdr:row>
      <xdr:rowOff>285750</xdr:rowOff>
    </xdr:from>
    <xdr:to>
      <xdr:col>3</xdr:col>
      <xdr:colOff>2004483</xdr:colOff>
      <xdr:row>3</xdr:row>
      <xdr:rowOff>861482</xdr:rowOff>
    </xdr:to>
    <xdr:pic>
      <xdr:nvPicPr>
        <xdr:cNvPr id="4" name="Graphic 3" descr="Email outline">
          <a:extLst>
            <a:ext uri="{FF2B5EF4-FFF2-40B4-BE49-F238E27FC236}">
              <a16:creationId xmlns:a16="http://schemas.microsoft.com/office/drawing/2014/main" id="{E51199EB-CC05-156D-148A-B1EEB4B9E1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3186834" y="2529417"/>
          <a:ext cx="575732" cy="575732"/>
        </a:xfrm>
        <a:prstGeom prst="rect">
          <a:avLst/>
        </a:prstGeom>
      </xdr:spPr>
    </xdr:pic>
    <xdr:clientData/>
  </xdr:twoCellAnchor>
  <xdr:twoCellAnchor editAs="oneCell">
    <xdr:from>
      <xdr:col>3</xdr:col>
      <xdr:colOff>1291165</xdr:colOff>
      <xdr:row>8</xdr:row>
      <xdr:rowOff>740827</xdr:rowOff>
    </xdr:from>
    <xdr:to>
      <xdr:col>3</xdr:col>
      <xdr:colOff>2004482</xdr:colOff>
      <xdr:row>10</xdr:row>
      <xdr:rowOff>338661</xdr:rowOff>
    </xdr:to>
    <xdr:pic>
      <xdr:nvPicPr>
        <xdr:cNvPr id="6" name="Graphic 5" descr="Daily calendar outline">
          <a:extLst>
            <a:ext uri="{FF2B5EF4-FFF2-40B4-BE49-F238E27FC236}">
              <a16:creationId xmlns:a16="http://schemas.microsoft.com/office/drawing/2014/main" id="{EDBC65B5-53EA-DF9B-0BCD-D23A563F4C5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049248" y="7408327"/>
          <a:ext cx="713317" cy="713317"/>
        </a:xfrm>
        <a:prstGeom prst="rect">
          <a:avLst/>
        </a:prstGeom>
      </xdr:spPr>
    </xdr:pic>
    <xdr:clientData/>
  </xdr:twoCellAnchor>
  <xdr:twoCellAnchor>
    <xdr:from>
      <xdr:col>0</xdr:col>
      <xdr:colOff>105833</xdr:colOff>
      <xdr:row>0</xdr:row>
      <xdr:rowOff>402166</xdr:rowOff>
    </xdr:from>
    <xdr:to>
      <xdr:col>0</xdr:col>
      <xdr:colOff>994833</xdr:colOff>
      <xdr:row>0</xdr:row>
      <xdr:rowOff>605366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7590998B-EB52-FA48-930B-E56C8A34BA66}"/>
            </a:ext>
          </a:extLst>
        </xdr:cNvPr>
        <xdr:cNvSpPr/>
      </xdr:nvSpPr>
      <xdr:spPr>
        <a:xfrm>
          <a:off x="105833" y="402166"/>
          <a:ext cx="889000" cy="2032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About</a:t>
          </a:r>
        </a:p>
      </xdr:txBody>
    </xdr:sp>
    <xdr:clientData/>
  </xdr:twoCellAnchor>
  <xdr:twoCellAnchor>
    <xdr:from>
      <xdr:col>0</xdr:col>
      <xdr:colOff>105834</xdr:colOff>
      <xdr:row>1</xdr:row>
      <xdr:rowOff>42334</xdr:rowOff>
    </xdr:from>
    <xdr:to>
      <xdr:col>0</xdr:col>
      <xdr:colOff>994834</xdr:colOff>
      <xdr:row>1</xdr:row>
      <xdr:rowOff>245534</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2F8065E-8AEB-9D46-A4D9-9F3E02BF3006}"/>
            </a:ext>
          </a:extLst>
        </xdr:cNvPr>
        <xdr:cNvSpPr/>
      </xdr:nvSpPr>
      <xdr:spPr>
        <a:xfrm>
          <a:off x="105834" y="698501"/>
          <a:ext cx="889000" cy="2032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Definitions</a:t>
          </a:r>
        </a:p>
      </xdr:txBody>
    </xdr:sp>
    <xdr:clientData/>
  </xdr:twoCellAnchor>
  <xdr:twoCellAnchor>
    <xdr:from>
      <xdr:col>0</xdr:col>
      <xdr:colOff>116416</xdr:colOff>
      <xdr:row>1</xdr:row>
      <xdr:rowOff>317500</xdr:rowOff>
    </xdr:from>
    <xdr:to>
      <xdr:col>0</xdr:col>
      <xdr:colOff>965199</xdr:colOff>
      <xdr:row>1</xdr:row>
      <xdr:rowOff>529167</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F886A7BA-9356-5148-B4F6-964FC59DB67D}"/>
            </a:ext>
          </a:extLst>
        </xdr:cNvPr>
        <xdr:cNvSpPr/>
      </xdr:nvSpPr>
      <xdr:spPr>
        <a:xfrm>
          <a:off x="116416" y="973667"/>
          <a:ext cx="848783" cy="2116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The Tool</a:t>
          </a:r>
        </a:p>
      </xdr:txBody>
    </xdr:sp>
    <xdr:clientData/>
  </xdr:twoCellAnchor>
  <xdr:twoCellAnchor>
    <xdr:from>
      <xdr:col>0</xdr:col>
      <xdr:colOff>84666</xdr:colOff>
      <xdr:row>2</xdr:row>
      <xdr:rowOff>42333</xdr:rowOff>
    </xdr:from>
    <xdr:to>
      <xdr:col>0</xdr:col>
      <xdr:colOff>973666</xdr:colOff>
      <xdr:row>2</xdr:row>
      <xdr:rowOff>245533</xdr:rowOff>
    </xdr:to>
    <xdr:sp macro="" textlink="">
      <xdr:nvSpPr>
        <xdr:cNvPr id="11" name="Rectangle 10">
          <a:hlinkClick xmlns:r="http://schemas.openxmlformats.org/officeDocument/2006/relationships" r:id="rId9"/>
          <a:extLst>
            <a:ext uri="{FF2B5EF4-FFF2-40B4-BE49-F238E27FC236}">
              <a16:creationId xmlns:a16="http://schemas.microsoft.com/office/drawing/2014/main" id="{DDA86951-DA12-0D49-8F3D-23D966720B0B}"/>
            </a:ext>
          </a:extLst>
        </xdr:cNvPr>
        <xdr:cNvSpPr/>
      </xdr:nvSpPr>
      <xdr:spPr>
        <a:xfrm>
          <a:off x="84666" y="1354666"/>
          <a:ext cx="889000" cy="2032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Mapping</a:t>
          </a:r>
        </a:p>
      </xdr:txBody>
    </xdr:sp>
    <xdr:clientData/>
  </xdr:twoCellAnchor>
  <xdr:twoCellAnchor>
    <xdr:from>
      <xdr:col>0</xdr:col>
      <xdr:colOff>95250</xdr:colOff>
      <xdr:row>2</xdr:row>
      <xdr:rowOff>317500</xdr:rowOff>
    </xdr:from>
    <xdr:to>
      <xdr:col>0</xdr:col>
      <xdr:colOff>944033</xdr:colOff>
      <xdr:row>2</xdr:row>
      <xdr:rowOff>529167</xdr:rowOff>
    </xdr:to>
    <xdr:sp macro="" textlink="">
      <xdr:nvSpPr>
        <xdr:cNvPr id="12" name="Rectangle 11">
          <a:hlinkClick xmlns:r="http://schemas.openxmlformats.org/officeDocument/2006/relationships" r:id="rId10"/>
          <a:extLst>
            <a:ext uri="{FF2B5EF4-FFF2-40B4-BE49-F238E27FC236}">
              <a16:creationId xmlns:a16="http://schemas.microsoft.com/office/drawing/2014/main" id="{EB90BB75-1DF8-6C47-B1D1-4116416E80CB}"/>
            </a:ext>
          </a:extLst>
        </xdr:cNvPr>
        <xdr:cNvSpPr/>
      </xdr:nvSpPr>
      <xdr:spPr>
        <a:xfrm>
          <a:off x="95250" y="1629833"/>
          <a:ext cx="848783" cy="2116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Examples</a:t>
          </a:r>
        </a:p>
      </xdr:txBody>
    </xdr:sp>
    <xdr:clientData/>
  </xdr:twoCellAnchor>
  <xdr:twoCellAnchor>
    <xdr:from>
      <xdr:col>0</xdr:col>
      <xdr:colOff>95250</xdr:colOff>
      <xdr:row>2</xdr:row>
      <xdr:rowOff>613834</xdr:rowOff>
    </xdr:from>
    <xdr:to>
      <xdr:col>0</xdr:col>
      <xdr:colOff>944033</xdr:colOff>
      <xdr:row>2</xdr:row>
      <xdr:rowOff>825501</xdr:rowOff>
    </xdr:to>
    <xdr:sp macro="" textlink="">
      <xdr:nvSpPr>
        <xdr:cNvPr id="13" name="Rectangle 12">
          <a:hlinkClick xmlns:r="http://schemas.openxmlformats.org/officeDocument/2006/relationships" r:id="rId11"/>
          <a:extLst>
            <a:ext uri="{FF2B5EF4-FFF2-40B4-BE49-F238E27FC236}">
              <a16:creationId xmlns:a16="http://schemas.microsoft.com/office/drawing/2014/main" id="{2B84AA0E-EB5A-2144-8671-6614573F001D}"/>
            </a:ext>
          </a:extLst>
        </xdr:cNvPr>
        <xdr:cNvSpPr/>
      </xdr:nvSpPr>
      <xdr:spPr>
        <a:xfrm>
          <a:off x="95250" y="1926167"/>
          <a:ext cx="848783" cy="2116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Sources</a:t>
          </a:r>
        </a:p>
      </xdr:txBody>
    </xdr:sp>
    <xdr:clientData/>
  </xdr:twoCellAnchor>
  <xdr:twoCellAnchor>
    <xdr:from>
      <xdr:col>0</xdr:col>
      <xdr:colOff>95250</xdr:colOff>
      <xdr:row>2</xdr:row>
      <xdr:rowOff>910167</xdr:rowOff>
    </xdr:from>
    <xdr:to>
      <xdr:col>0</xdr:col>
      <xdr:colOff>944033</xdr:colOff>
      <xdr:row>3</xdr:row>
      <xdr:rowOff>190500</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4DFD038C-394F-4045-9097-5B785D90B1EB}"/>
            </a:ext>
          </a:extLst>
        </xdr:cNvPr>
        <xdr:cNvSpPr/>
      </xdr:nvSpPr>
      <xdr:spPr>
        <a:xfrm>
          <a:off x="95250" y="2222500"/>
          <a:ext cx="848783" cy="2116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Model Info</a:t>
          </a:r>
        </a:p>
      </xdr:txBody>
    </xdr:sp>
    <xdr:clientData/>
  </xdr:twoCellAnchor>
  <xdr:twoCellAnchor>
    <xdr:from>
      <xdr:col>0</xdr:col>
      <xdr:colOff>63500</xdr:colOff>
      <xdr:row>3</xdr:row>
      <xdr:rowOff>296333</xdr:rowOff>
    </xdr:from>
    <xdr:to>
      <xdr:col>0</xdr:col>
      <xdr:colOff>952500</xdr:colOff>
      <xdr:row>3</xdr:row>
      <xdr:rowOff>753533</xdr:rowOff>
    </xdr:to>
    <xdr:sp macro="" textlink="">
      <xdr:nvSpPr>
        <xdr:cNvPr id="17" name="Rectangle 16">
          <a:hlinkClick xmlns:r="http://schemas.openxmlformats.org/officeDocument/2006/relationships" r:id="rId13"/>
          <a:extLst>
            <a:ext uri="{FF2B5EF4-FFF2-40B4-BE49-F238E27FC236}">
              <a16:creationId xmlns:a16="http://schemas.microsoft.com/office/drawing/2014/main" id="{9031D695-E1CF-B14C-B9F2-BF70D4939A61}"/>
            </a:ext>
          </a:extLst>
        </xdr:cNvPr>
        <xdr:cNvSpPr/>
      </xdr:nvSpPr>
      <xdr:spPr>
        <a:xfrm>
          <a:off x="63500" y="2540000"/>
          <a:ext cx="889000" cy="4572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accent1"/>
              </a:solidFill>
            </a:rPr>
            <a:t>Version History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0</xdr:row>
      <xdr:rowOff>152400</xdr:rowOff>
    </xdr:from>
    <xdr:to>
      <xdr:col>0</xdr:col>
      <xdr:colOff>1270000</xdr:colOff>
      <xdr:row>0</xdr:row>
      <xdr:rowOff>419100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D37948F8-73F2-5D45-B88A-A2A99C970CAC}"/>
            </a:ext>
          </a:extLst>
        </xdr:cNvPr>
        <xdr:cNvSpPr/>
      </xdr:nvSpPr>
      <xdr:spPr>
        <a:xfrm>
          <a:off x="152400" y="152400"/>
          <a:ext cx="11176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Back to Menu</a:t>
          </a:r>
        </a:p>
      </xdr:txBody>
    </xdr:sp>
    <xdr:clientData/>
  </xdr:twoCellAnchor>
  <xdr:twoCellAnchor>
    <xdr:from>
      <xdr:col>0</xdr:col>
      <xdr:colOff>177800</xdr:colOff>
      <xdr:row>0</xdr:row>
      <xdr:rowOff>495300</xdr:rowOff>
    </xdr:from>
    <xdr:to>
      <xdr:col>0</xdr:col>
      <xdr:colOff>1270000</xdr:colOff>
      <xdr:row>0</xdr:row>
      <xdr:rowOff>736600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84EA100-7B17-F047-97B8-C310112E1CB1}"/>
            </a:ext>
          </a:extLst>
        </xdr:cNvPr>
        <xdr:cNvSpPr/>
      </xdr:nvSpPr>
      <xdr:spPr>
        <a:xfrm>
          <a:off x="177800" y="495300"/>
          <a:ext cx="1092200" cy="2413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Instructions</a:t>
          </a:r>
        </a:p>
      </xdr:txBody>
    </xdr:sp>
    <xdr:clientData/>
  </xdr:twoCellAnchor>
  <xdr:twoCellAnchor>
    <xdr:from>
      <xdr:col>0</xdr:col>
      <xdr:colOff>165100</xdr:colOff>
      <xdr:row>0</xdr:row>
      <xdr:rowOff>838200</xdr:rowOff>
    </xdr:from>
    <xdr:to>
      <xdr:col>0</xdr:col>
      <xdr:colOff>1257300</xdr:colOff>
      <xdr:row>1</xdr:row>
      <xdr:rowOff>203200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3AA10C07-5B09-8947-AA32-FF2770DFFFBC}"/>
            </a:ext>
          </a:extLst>
        </xdr:cNvPr>
        <xdr:cNvSpPr/>
      </xdr:nvSpPr>
      <xdr:spPr>
        <a:xfrm>
          <a:off x="165100" y="838200"/>
          <a:ext cx="1092200" cy="2794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Definitions</a:t>
          </a:r>
        </a:p>
      </xdr:txBody>
    </xdr:sp>
    <xdr:clientData/>
  </xdr:twoCellAnchor>
  <xdr:twoCellAnchor>
    <xdr:from>
      <xdr:col>0</xdr:col>
      <xdr:colOff>165100</xdr:colOff>
      <xdr:row>1</xdr:row>
      <xdr:rowOff>279400</xdr:rowOff>
    </xdr:from>
    <xdr:to>
      <xdr:col>0</xdr:col>
      <xdr:colOff>1244600</xdr:colOff>
      <xdr:row>2</xdr:row>
      <xdr:rowOff>38100</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F53774-4757-DD43-9AE1-AD53646B896A}"/>
            </a:ext>
          </a:extLst>
        </xdr:cNvPr>
        <xdr:cNvSpPr/>
      </xdr:nvSpPr>
      <xdr:spPr>
        <a:xfrm>
          <a:off x="165100" y="1193800"/>
          <a:ext cx="1079500" cy="2921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The Tool</a:t>
          </a:r>
        </a:p>
      </xdr:txBody>
    </xdr:sp>
    <xdr:clientData/>
  </xdr:twoCellAnchor>
  <xdr:twoCellAnchor>
    <xdr:from>
      <xdr:col>0</xdr:col>
      <xdr:colOff>165100</xdr:colOff>
      <xdr:row>2</xdr:row>
      <xdr:rowOff>127000</xdr:rowOff>
    </xdr:from>
    <xdr:to>
      <xdr:col>0</xdr:col>
      <xdr:colOff>1219200</xdr:colOff>
      <xdr:row>3</xdr:row>
      <xdr:rowOff>101600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482BD1A4-C214-044C-B569-41FE33D0F6BC}"/>
            </a:ext>
          </a:extLst>
        </xdr:cNvPr>
        <xdr:cNvSpPr/>
      </xdr:nvSpPr>
      <xdr:spPr>
        <a:xfrm>
          <a:off x="165100" y="1574800"/>
          <a:ext cx="10541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Mapping</a:t>
          </a:r>
        </a:p>
      </xdr:txBody>
    </xdr:sp>
    <xdr:clientData/>
  </xdr:twoCellAnchor>
  <xdr:twoCellAnchor>
    <xdr:from>
      <xdr:col>0</xdr:col>
      <xdr:colOff>165100</xdr:colOff>
      <xdr:row>3</xdr:row>
      <xdr:rowOff>228600</xdr:rowOff>
    </xdr:from>
    <xdr:to>
      <xdr:col>0</xdr:col>
      <xdr:colOff>1219200</xdr:colOff>
      <xdr:row>4</xdr:row>
      <xdr:rowOff>203200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DBED76AA-5C2E-A144-AD4F-F22FF13207B5}"/>
            </a:ext>
          </a:extLst>
        </xdr:cNvPr>
        <xdr:cNvSpPr/>
      </xdr:nvSpPr>
      <xdr:spPr>
        <a:xfrm>
          <a:off x="165100" y="1968500"/>
          <a:ext cx="1054100" cy="2794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Examples</a:t>
          </a:r>
        </a:p>
      </xdr:txBody>
    </xdr:sp>
    <xdr:clientData/>
  </xdr:twoCellAnchor>
  <xdr:twoCellAnchor>
    <xdr:from>
      <xdr:col>0</xdr:col>
      <xdr:colOff>139700</xdr:colOff>
      <xdr:row>5</xdr:row>
      <xdr:rowOff>12700</xdr:rowOff>
    </xdr:from>
    <xdr:to>
      <xdr:col>0</xdr:col>
      <xdr:colOff>1193800</xdr:colOff>
      <xdr:row>5</xdr:row>
      <xdr:rowOff>266700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D00BFD87-E16D-3C4C-835E-C21FB8035F3B}"/>
            </a:ext>
          </a:extLst>
        </xdr:cNvPr>
        <xdr:cNvSpPr/>
      </xdr:nvSpPr>
      <xdr:spPr>
        <a:xfrm>
          <a:off x="139700" y="2349500"/>
          <a:ext cx="10541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Sources</a:t>
          </a:r>
        </a:p>
      </xdr:txBody>
    </xdr:sp>
    <xdr:clientData/>
  </xdr:twoCellAnchor>
  <xdr:twoCellAnchor>
    <xdr:from>
      <xdr:col>0</xdr:col>
      <xdr:colOff>152400</xdr:colOff>
      <xdr:row>5</xdr:row>
      <xdr:rowOff>355600</xdr:rowOff>
    </xdr:from>
    <xdr:to>
      <xdr:col>0</xdr:col>
      <xdr:colOff>1181100</xdr:colOff>
      <xdr:row>5</xdr:row>
      <xdr:rowOff>584200</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0E98FB57-3C3D-BB4C-9BC8-EC0A4A06DF1E}"/>
            </a:ext>
          </a:extLst>
        </xdr:cNvPr>
        <xdr:cNvSpPr/>
      </xdr:nvSpPr>
      <xdr:spPr>
        <a:xfrm>
          <a:off x="152400" y="2692400"/>
          <a:ext cx="1028700" cy="2286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Model Info</a:t>
          </a:r>
        </a:p>
      </xdr:txBody>
    </xdr:sp>
    <xdr:clientData/>
  </xdr:twoCellAnchor>
  <xdr:twoCellAnchor>
    <xdr:from>
      <xdr:col>0</xdr:col>
      <xdr:colOff>139700</xdr:colOff>
      <xdr:row>6</xdr:row>
      <xdr:rowOff>50800</xdr:rowOff>
    </xdr:from>
    <xdr:to>
      <xdr:col>0</xdr:col>
      <xdr:colOff>1181100</xdr:colOff>
      <xdr:row>7</xdr:row>
      <xdr:rowOff>177800</xdr:rowOff>
    </xdr:to>
    <xdr:sp macro="" textlink="">
      <xdr:nvSpPr>
        <xdr:cNvPr id="11" name="Rectangle 10">
          <a:hlinkClick xmlns:r="http://schemas.openxmlformats.org/officeDocument/2006/relationships" r:id="rId9"/>
          <a:extLst>
            <a:ext uri="{FF2B5EF4-FFF2-40B4-BE49-F238E27FC236}">
              <a16:creationId xmlns:a16="http://schemas.microsoft.com/office/drawing/2014/main" id="{C3DCB9A1-9E90-3B49-8164-99129D1C255B}"/>
            </a:ext>
          </a:extLst>
        </xdr:cNvPr>
        <xdr:cNvSpPr/>
      </xdr:nvSpPr>
      <xdr:spPr>
        <a:xfrm>
          <a:off x="139700" y="2997200"/>
          <a:ext cx="1041400" cy="4191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Version History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0</xdr:col>
      <xdr:colOff>1206500</xdr:colOff>
      <xdr:row>0</xdr:row>
      <xdr:rowOff>342900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8513883-A815-D749-B1BB-469B0E1CBD4B}"/>
            </a:ext>
          </a:extLst>
        </xdr:cNvPr>
        <xdr:cNvSpPr/>
      </xdr:nvSpPr>
      <xdr:spPr>
        <a:xfrm>
          <a:off x="101600" y="88900"/>
          <a:ext cx="11049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Back to Menu</a:t>
          </a:r>
        </a:p>
      </xdr:txBody>
    </xdr:sp>
    <xdr:clientData/>
  </xdr:twoCellAnchor>
  <xdr:twoCellAnchor>
    <xdr:from>
      <xdr:col>0</xdr:col>
      <xdr:colOff>114300</xdr:colOff>
      <xdr:row>0</xdr:row>
      <xdr:rowOff>419100</xdr:rowOff>
    </xdr:from>
    <xdr:to>
      <xdr:col>0</xdr:col>
      <xdr:colOff>1206500</xdr:colOff>
      <xdr:row>1</xdr:row>
      <xdr:rowOff>50800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A580603-2539-A447-A3C1-FC78307524CC}"/>
            </a:ext>
          </a:extLst>
        </xdr:cNvPr>
        <xdr:cNvSpPr/>
      </xdr:nvSpPr>
      <xdr:spPr>
        <a:xfrm>
          <a:off x="114300" y="419100"/>
          <a:ext cx="1092200" cy="2413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Instructions</a:t>
          </a:r>
        </a:p>
      </xdr:txBody>
    </xdr:sp>
    <xdr:clientData/>
  </xdr:twoCellAnchor>
  <xdr:twoCellAnchor>
    <xdr:from>
      <xdr:col>0</xdr:col>
      <xdr:colOff>114300</xdr:colOff>
      <xdr:row>1</xdr:row>
      <xdr:rowOff>139700</xdr:rowOff>
    </xdr:from>
    <xdr:to>
      <xdr:col>0</xdr:col>
      <xdr:colOff>1193800</xdr:colOff>
      <xdr:row>1</xdr:row>
      <xdr:rowOff>368300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97322E0E-EED1-4247-A8A6-370D229760AD}"/>
            </a:ext>
          </a:extLst>
        </xdr:cNvPr>
        <xdr:cNvSpPr/>
      </xdr:nvSpPr>
      <xdr:spPr>
        <a:xfrm>
          <a:off x="114300" y="749300"/>
          <a:ext cx="1079500" cy="2286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About</a:t>
          </a:r>
        </a:p>
      </xdr:txBody>
    </xdr:sp>
    <xdr:clientData/>
  </xdr:twoCellAnchor>
  <xdr:twoCellAnchor>
    <xdr:from>
      <xdr:col>0</xdr:col>
      <xdr:colOff>101600</xdr:colOff>
      <xdr:row>2</xdr:row>
      <xdr:rowOff>38100</xdr:rowOff>
    </xdr:from>
    <xdr:to>
      <xdr:col>0</xdr:col>
      <xdr:colOff>1181100</xdr:colOff>
      <xdr:row>2</xdr:row>
      <xdr:rowOff>304800</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5978B26D-34B6-EE47-812D-8268151B75EB}"/>
            </a:ext>
          </a:extLst>
        </xdr:cNvPr>
        <xdr:cNvSpPr/>
      </xdr:nvSpPr>
      <xdr:spPr>
        <a:xfrm>
          <a:off x="101600" y="1130300"/>
          <a:ext cx="10795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The Tool</a:t>
          </a:r>
        </a:p>
      </xdr:txBody>
    </xdr:sp>
    <xdr:clientData/>
  </xdr:twoCellAnchor>
  <xdr:twoCellAnchor>
    <xdr:from>
      <xdr:col>0</xdr:col>
      <xdr:colOff>101600</xdr:colOff>
      <xdr:row>2</xdr:row>
      <xdr:rowOff>381000</xdr:rowOff>
    </xdr:from>
    <xdr:to>
      <xdr:col>0</xdr:col>
      <xdr:colOff>1155700</xdr:colOff>
      <xdr:row>2</xdr:row>
      <xdr:rowOff>635000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5C94F6D1-5CEB-3A49-8E04-29EB28D22B4F}"/>
            </a:ext>
          </a:extLst>
        </xdr:cNvPr>
        <xdr:cNvSpPr/>
      </xdr:nvSpPr>
      <xdr:spPr>
        <a:xfrm>
          <a:off x="101600" y="1473200"/>
          <a:ext cx="10541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Mapping</a:t>
          </a:r>
        </a:p>
      </xdr:txBody>
    </xdr:sp>
    <xdr:clientData/>
  </xdr:twoCellAnchor>
  <xdr:twoCellAnchor>
    <xdr:from>
      <xdr:col>0</xdr:col>
      <xdr:colOff>101600</xdr:colOff>
      <xdr:row>2</xdr:row>
      <xdr:rowOff>711200</xdr:rowOff>
    </xdr:from>
    <xdr:to>
      <xdr:col>0</xdr:col>
      <xdr:colOff>1168400</xdr:colOff>
      <xdr:row>2</xdr:row>
      <xdr:rowOff>977900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F10133DC-AD46-DE4C-8429-5AD15B6C8B7A}"/>
            </a:ext>
          </a:extLst>
        </xdr:cNvPr>
        <xdr:cNvSpPr/>
      </xdr:nvSpPr>
      <xdr:spPr>
        <a:xfrm>
          <a:off x="101600" y="1803400"/>
          <a:ext cx="10668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Examples</a:t>
          </a:r>
        </a:p>
      </xdr:txBody>
    </xdr:sp>
    <xdr:clientData/>
  </xdr:twoCellAnchor>
  <xdr:twoCellAnchor>
    <xdr:from>
      <xdr:col>0</xdr:col>
      <xdr:colOff>101600</xdr:colOff>
      <xdr:row>2</xdr:row>
      <xdr:rowOff>1041400</xdr:rowOff>
    </xdr:from>
    <xdr:to>
      <xdr:col>0</xdr:col>
      <xdr:colOff>1143000</xdr:colOff>
      <xdr:row>2</xdr:row>
      <xdr:rowOff>1308100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56366F09-4EDC-3E4C-8B46-63B63E25049D}"/>
            </a:ext>
          </a:extLst>
        </xdr:cNvPr>
        <xdr:cNvSpPr/>
      </xdr:nvSpPr>
      <xdr:spPr>
        <a:xfrm>
          <a:off x="101600" y="2133600"/>
          <a:ext cx="10414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Sources</a:t>
          </a:r>
        </a:p>
      </xdr:txBody>
    </xdr:sp>
    <xdr:clientData/>
  </xdr:twoCellAnchor>
  <xdr:twoCellAnchor>
    <xdr:from>
      <xdr:col>0</xdr:col>
      <xdr:colOff>101600</xdr:colOff>
      <xdr:row>2</xdr:row>
      <xdr:rowOff>1371600</xdr:rowOff>
    </xdr:from>
    <xdr:to>
      <xdr:col>0</xdr:col>
      <xdr:colOff>1130300</xdr:colOff>
      <xdr:row>2</xdr:row>
      <xdr:rowOff>1625600</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3035B04E-6779-B348-B747-E15E0A2AB10F}"/>
            </a:ext>
          </a:extLst>
        </xdr:cNvPr>
        <xdr:cNvSpPr/>
      </xdr:nvSpPr>
      <xdr:spPr>
        <a:xfrm>
          <a:off x="101600" y="2463800"/>
          <a:ext cx="10287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Model Info</a:t>
          </a:r>
        </a:p>
      </xdr:txBody>
    </xdr:sp>
    <xdr:clientData/>
  </xdr:twoCellAnchor>
  <xdr:twoCellAnchor>
    <xdr:from>
      <xdr:col>0</xdr:col>
      <xdr:colOff>101600</xdr:colOff>
      <xdr:row>2</xdr:row>
      <xdr:rowOff>1689100</xdr:rowOff>
    </xdr:from>
    <xdr:to>
      <xdr:col>0</xdr:col>
      <xdr:colOff>1130300</xdr:colOff>
      <xdr:row>2</xdr:row>
      <xdr:rowOff>2120900</xdr:rowOff>
    </xdr:to>
    <xdr:sp macro="" textlink="">
      <xdr:nvSpPr>
        <xdr:cNvPr id="10" name="Rectangle 9">
          <a:hlinkClick xmlns:r="http://schemas.openxmlformats.org/officeDocument/2006/relationships" r:id="rId9"/>
          <a:extLst>
            <a:ext uri="{FF2B5EF4-FFF2-40B4-BE49-F238E27FC236}">
              <a16:creationId xmlns:a16="http://schemas.microsoft.com/office/drawing/2014/main" id="{3302F64E-A873-5A4A-B2B2-A5E6367E8A0F}"/>
            </a:ext>
          </a:extLst>
        </xdr:cNvPr>
        <xdr:cNvSpPr/>
      </xdr:nvSpPr>
      <xdr:spPr>
        <a:xfrm>
          <a:off x="101600" y="2781300"/>
          <a:ext cx="1028700" cy="4318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Version History</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111125</xdr:colOff>
      <xdr:row>0</xdr:row>
      <xdr:rowOff>71438</xdr:rowOff>
    </xdr:from>
    <xdr:to>
      <xdr:col>0</xdr:col>
      <xdr:colOff>1027545</xdr:colOff>
      <xdr:row>0</xdr:row>
      <xdr:rowOff>311727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988227C5-2C0B-BA4C-84D4-312A2D971F24}"/>
            </a:ext>
          </a:extLst>
        </xdr:cNvPr>
        <xdr:cNvSpPr/>
      </xdr:nvSpPr>
      <xdr:spPr>
        <a:xfrm>
          <a:off x="111125" y="71438"/>
          <a:ext cx="916420" cy="240289"/>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chemeClr val="accent1"/>
              </a:solidFill>
              <a:latin typeface="Arial" panose="020B0604020202020204" pitchFamily="34" charset="0"/>
              <a:cs typeface="Arial" panose="020B0604020202020204" pitchFamily="34" charset="0"/>
            </a:rPr>
            <a:t>Back to Menu</a:t>
          </a:r>
        </a:p>
      </xdr:txBody>
    </xdr:sp>
    <xdr:clientData/>
  </xdr:twoCellAnchor>
  <xdr:twoCellAnchor>
    <xdr:from>
      <xdr:col>1</xdr:col>
      <xdr:colOff>496456</xdr:colOff>
      <xdr:row>0</xdr:row>
      <xdr:rowOff>80818</xdr:rowOff>
    </xdr:from>
    <xdr:to>
      <xdr:col>1</xdr:col>
      <xdr:colOff>1316182</xdr:colOff>
      <xdr:row>0</xdr:row>
      <xdr:rowOff>311727</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4882C471-F0FE-D047-9C7E-EB5C39ECA452}"/>
            </a:ext>
          </a:extLst>
        </xdr:cNvPr>
        <xdr:cNvSpPr/>
      </xdr:nvSpPr>
      <xdr:spPr>
        <a:xfrm>
          <a:off x="2193638" y="80818"/>
          <a:ext cx="819726" cy="230909"/>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About</a:t>
          </a:r>
        </a:p>
      </xdr:txBody>
    </xdr:sp>
    <xdr:clientData/>
  </xdr:twoCellAnchor>
  <xdr:twoCellAnchor>
    <xdr:from>
      <xdr:col>1</xdr:col>
      <xdr:colOff>1408546</xdr:colOff>
      <xdr:row>0</xdr:row>
      <xdr:rowOff>80817</xdr:rowOff>
    </xdr:from>
    <xdr:to>
      <xdr:col>2</xdr:col>
      <xdr:colOff>577271</xdr:colOff>
      <xdr:row>0</xdr:row>
      <xdr:rowOff>323272</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2E3CDD5-1F44-5645-AF51-A9ECC7BA721C}"/>
            </a:ext>
          </a:extLst>
        </xdr:cNvPr>
        <xdr:cNvSpPr/>
      </xdr:nvSpPr>
      <xdr:spPr>
        <a:xfrm>
          <a:off x="3105728" y="80817"/>
          <a:ext cx="865907" cy="242455"/>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Definitions</a:t>
          </a:r>
        </a:p>
      </xdr:txBody>
    </xdr:sp>
    <xdr:clientData/>
  </xdr:twoCellAnchor>
  <xdr:twoCellAnchor>
    <xdr:from>
      <xdr:col>3</xdr:col>
      <xdr:colOff>958273</xdr:colOff>
      <xdr:row>0</xdr:row>
      <xdr:rowOff>92364</xdr:rowOff>
    </xdr:from>
    <xdr:to>
      <xdr:col>3</xdr:col>
      <xdr:colOff>1858819</xdr:colOff>
      <xdr:row>0</xdr:row>
      <xdr:rowOff>357910</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6EA0321A-3832-0B41-873F-4D788D7860E0}"/>
            </a:ext>
          </a:extLst>
        </xdr:cNvPr>
        <xdr:cNvSpPr/>
      </xdr:nvSpPr>
      <xdr:spPr>
        <a:xfrm>
          <a:off x="6049818" y="92364"/>
          <a:ext cx="900546" cy="265546"/>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Sources</a:t>
          </a:r>
        </a:p>
      </xdr:txBody>
    </xdr:sp>
    <xdr:clientData/>
  </xdr:twoCellAnchor>
  <xdr:twoCellAnchor>
    <xdr:from>
      <xdr:col>3</xdr:col>
      <xdr:colOff>1928091</xdr:colOff>
      <xdr:row>0</xdr:row>
      <xdr:rowOff>103908</xdr:rowOff>
    </xdr:from>
    <xdr:to>
      <xdr:col>4</xdr:col>
      <xdr:colOff>323273</xdr:colOff>
      <xdr:row>0</xdr:row>
      <xdr:rowOff>357908</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50897D80-ED2F-C84B-9FD4-EB7849FD721A}"/>
            </a:ext>
          </a:extLst>
        </xdr:cNvPr>
        <xdr:cNvSpPr/>
      </xdr:nvSpPr>
      <xdr:spPr>
        <a:xfrm>
          <a:off x="7019636" y="103908"/>
          <a:ext cx="958273"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Model Info</a:t>
          </a:r>
        </a:p>
      </xdr:txBody>
    </xdr:sp>
    <xdr:clientData/>
  </xdr:twoCellAnchor>
  <xdr:twoCellAnchor>
    <xdr:from>
      <xdr:col>4</xdr:col>
      <xdr:colOff>415636</xdr:colOff>
      <xdr:row>0</xdr:row>
      <xdr:rowOff>103908</xdr:rowOff>
    </xdr:from>
    <xdr:to>
      <xdr:col>4</xdr:col>
      <xdr:colOff>1558636</xdr:colOff>
      <xdr:row>0</xdr:row>
      <xdr:rowOff>369454</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A5F33E8F-D7DF-3348-9C76-0778112E02C7}"/>
            </a:ext>
          </a:extLst>
        </xdr:cNvPr>
        <xdr:cNvSpPr/>
      </xdr:nvSpPr>
      <xdr:spPr>
        <a:xfrm>
          <a:off x="8070272" y="103908"/>
          <a:ext cx="1143000" cy="265546"/>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Version History</a:t>
          </a:r>
        </a:p>
      </xdr:txBody>
    </xdr:sp>
    <xdr:clientData/>
  </xdr:twoCellAnchor>
  <xdr:twoCellAnchor>
    <xdr:from>
      <xdr:col>0</xdr:col>
      <xdr:colOff>1108362</xdr:colOff>
      <xdr:row>0</xdr:row>
      <xdr:rowOff>80818</xdr:rowOff>
    </xdr:from>
    <xdr:to>
      <xdr:col>1</xdr:col>
      <xdr:colOff>401780</xdr:colOff>
      <xdr:row>0</xdr:row>
      <xdr:rowOff>309418</xdr:rowOff>
    </xdr:to>
    <xdr:sp macro="" textlink="">
      <xdr:nvSpPr>
        <xdr:cNvPr id="15" name="Rectangle 14">
          <a:hlinkClick xmlns:r="http://schemas.openxmlformats.org/officeDocument/2006/relationships" r:id="rId7"/>
          <a:extLst>
            <a:ext uri="{FF2B5EF4-FFF2-40B4-BE49-F238E27FC236}">
              <a16:creationId xmlns:a16="http://schemas.microsoft.com/office/drawing/2014/main" id="{F965711B-7B0C-A245-BF17-460256C23128}"/>
            </a:ext>
          </a:extLst>
        </xdr:cNvPr>
        <xdr:cNvSpPr/>
      </xdr:nvSpPr>
      <xdr:spPr>
        <a:xfrm>
          <a:off x="1108362" y="80818"/>
          <a:ext cx="990600" cy="2286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Instructions</a:t>
          </a:r>
        </a:p>
      </xdr:txBody>
    </xdr:sp>
    <xdr:clientData/>
  </xdr:twoCellAnchor>
  <xdr:twoCellAnchor>
    <xdr:from>
      <xdr:col>2</xdr:col>
      <xdr:colOff>658091</xdr:colOff>
      <xdr:row>0</xdr:row>
      <xdr:rowOff>80819</xdr:rowOff>
    </xdr:from>
    <xdr:to>
      <xdr:col>2</xdr:col>
      <xdr:colOff>1604818</xdr:colOff>
      <xdr:row>0</xdr:row>
      <xdr:rowOff>334819</xdr:rowOff>
    </xdr:to>
    <xdr:sp macro="" textlink="">
      <xdr:nvSpPr>
        <xdr:cNvPr id="18" name="Rectangle 17">
          <a:hlinkClick xmlns:r="http://schemas.openxmlformats.org/officeDocument/2006/relationships" r:id="rId8"/>
          <a:extLst>
            <a:ext uri="{FF2B5EF4-FFF2-40B4-BE49-F238E27FC236}">
              <a16:creationId xmlns:a16="http://schemas.microsoft.com/office/drawing/2014/main" id="{EF43312F-D233-F149-B13E-8FD964DF5546}"/>
            </a:ext>
          </a:extLst>
        </xdr:cNvPr>
        <xdr:cNvSpPr/>
      </xdr:nvSpPr>
      <xdr:spPr>
        <a:xfrm>
          <a:off x="4052455" y="80819"/>
          <a:ext cx="946727"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Mapping</a:t>
          </a:r>
        </a:p>
      </xdr:txBody>
    </xdr:sp>
    <xdr:clientData/>
  </xdr:twoCellAnchor>
  <xdr:twoCellAnchor>
    <xdr:from>
      <xdr:col>3</xdr:col>
      <xdr:colOff>34637</xdr:colOff>
      <xdr:row>0</xdr:row>
      <xdr:rowOff>92364</xdr:rowOff>
    </xdr:from>
    <xdr:to>
      <xdr:col>3</xdr:col>
      <xdr:colOff>877456</xdr:colOff>
      <xdr:row>0</xdr:row>
      <xdr:rowOff>357909</xdr:rowOff>
    </xdr:to>
    <xdr:sp macro="" textlink="">
      <xdr:nvSpPr>
        <xdr:cNvPr id="19" name="Rectangle 18">
          <a:hlinkClick xmlns:r="http://schemas.openxmlformats.org/officeDocument/2006/relationships" r:id="rId9"/>
          <a:extLst>
            <a:ext uri="{FF2B5EF4-FFF2-40B4-BE49-F238E27FC236}">
              <a16:creationId xmlns:a16="http://schemas.microsoft.com/office/drawing/2014/main" id="{923458C5-854E-894B-B0F5-C800C1A1CCF6}"/>
            </a:ext>
          </a:extLst>
        </xdr:cNvPr>
        <xdr:cNvSpPr/>
      </xdr:nvSpPr>
      <xdr:spPr>
        <a:xfrm>
          <a:off x="5126182" y="92364"/>
          <a:ext cx="842819" cy="265545"/>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Examples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63500</xdr:colOff>
      <xdr:row>0</xdr:row>
      <xdr:rowOff>88900</xdr:rowOff>
    </xdr:from>
    <xdr:to>
      <xdr:col>0</xdr:col>
      <xdr:colOff>912283</xdr:colOff>
      <xdr:row>0</xdr:row>
      <xdr:rowOff>300567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51A2093-8B56-2A45-A084-D949583F5684}"/>
            </a:ext>
          </a:extLst>
        </xdr:cNvPr>
        <xdr:cNvSpPr/>
      </xdr:nvSpPr>
      <xdr:spPr>
        <a:xfrm>
          <a:off x="63500" y="88900"/>
          <a:ext cx="848783" cy="2116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chemeClr val="accent1"/>
              </a:solidFill>
            </a:rPr>
            <a:t>Back to Menu</a:t>
          </a:r>
        </a:p>
      </xdr:txBody>
    </xdr:sp>
    <xdr:clientData/>
  </xdr:twoCellAnchor>
  <xdr:twoCellAnchor>
    <xdr:from>
      <xdr:col>1</xdr:col>
      <xdr:colOff>4292600</xdr:colOff>
      <xdr:row>0</xdr:row>
      <xdr:rowOff>88900</xdr:rowOff>
    </xdr:from>
    <xdr:to>
      <xdr:col>1</xdr:col>
      <xdr:colOff>5461000</xdr:colOff>
      <xdr:row>0</xdr:row>
      <xdr:rowOff>304800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70703E09-2B99-1043-9CD3-28ED4E582FC4}"/>
            </a:ext>
          </a:extLst>
        </xdr:cNvPr>
        <xdr:cNvSpPr/>
      </xdr:nvSpPr>
      <xdr:spPr>
        <a:xfrm>
          <a:off x="7950200" y="88900"/>
          <a:ext cx="1168400" cy="2159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Version History</a:t>
          </a:r>
        </a:p>
      </xdr:txBody>
    </xdr:sp>
    <xdr:clientData/>
  </xdr:twoCellAnchor>
  <xdr:twoCellAnchor>
    <xdr:from>
      <xdr:col>1</xdr:col>
      <xdr:colOff>3314700</xdr:colOff>
      <xdr:row>0</xdr:row>
      <xdr:rowOff>88900</xdr:rowOff>
    </xdr:from>
    <xdr:to>
      <xdr:col>1</xdr:col>
      <xdr:colOff>4203700</xdr:colOff>
      <xdr:row>0</xdr:row>
      <xdr:rowOff>304800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BA000036-19E6-8847-88B0-7EE6AE10CFB3}"/>
            </a:ext>
          </a:extLst>
        </xdr:cNvPr>
        <xdr:cNvSpPr/>
      </xdr:nvSpPr>
      <xdr:spPr>
        <a:xfrm>
          <a:off x="6972300" y="88900"/>
          <a:ext cx="889000" cy="2159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Sources</a:t>
          </a:r>
        </a:p>
      </xdr:txBody>
    </xdr:sp>
    <xdr:clientData/>
  </xdr:twoCellAnchor>
  <xdr:twoCellAnchor>
    <xdr:from>
      <xdr:col>0</xdr:col>
      <xdr:colOff>2044700</xdr:colOff>
      <xdr:row>0</xdr:row>
      <xdr:rowOff>101600</xdr:rowOff>
    </xdr:from>
    <xdr:to>
      <xdr:col>0</xdr:col>
      <xdr:colOff>3035300</xdr:colOff>
      <xdr:row>0</xdr:row>
      <xdr:rowOff>317500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74A2C761-0669-C24C-81CC-6323F46E1460}"/>
            </a:ext>
          </a:extLst>
        </xdr:cNvPr>
        <xdr:cNvSpPr/>
      </xdr:nvSpPr>
      <xdr:spPr>
        <a:xfrm>
          <a:off x="2044700" y="101600"/>
          <a:ext cx="990600" cy="2159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About</a:t>
          </a:r>
        </a:p>
      </xdr:txBody>
    </xdr:sp>
    <xdr:clientData/>
  </xdr:twoCellAnchor>
  <xdr:twoCellAnchor>
    <xdr:from>
      <xdr:col>0</xdr:col>
      <xdr:colOff>3098800</xdr:colOff>
      <xdr:row>0</xdr:row>
      <xdr:rowOff>88900</xdr:rowOff>
    </xdr:from>
    <xdr:to>
      <xdr:col>1</xdr:col>
      <xdr:colOff>330200</xdr:colOff>
      <xdr:row>0</xdr:row>
      <xdr:rowOff>304800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B49FC2-25BE-9D4B-BB23-C3B8A599637C}"/>
            </a:ext>
          </a:extLst>
        </xdr:cNvPr>
        <xdr:cNvSpPr/>
      </xdr:nvSpPr>
      <xdr:spPr>
        <a:xfrm>
          <a:off x="3098800" y="88900"/>
          <a:ext cx="889000" cy="2159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Definitions</a:t>
          </a:r>
        </a:p>
      </xdr:txBody>
    </xdr:sp>
    <xdr:clientData/>
  </xdr:twoCellAnchor>
  <xdr:twoCellAnchor>
    <xdr:from>
      <xdr:col>1</xdr:col>
      <xdr:colOff>406400</xdr:colOff>
      <xdr:row>0</xdr:row>
      <xdr:rowOff>88900</xdr:rowOff>
    </xdr:from>
    <xdr:to>
      <xdr:col>1</xdr:col>
      <xdr:colOff>1255183</xdr:colOff>
      <xdr:row>0</xdr:row>
      <xdr:rowOff>300567</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2B6DD51F-2A29-464B-9132-2CC349197DA1}"/>
            </a:ext>
          </a:extLst>
        </xdr:cNvPr>
        <xdr:cNvSpPr/>
      </xdr:nvSpPr>
      <xdr:spPr>
        <a:xfrm>
          <a:off x="4064000" y="88900"/>
          <a:ext cx="848783" cy="2116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The Tool</a:t>
          </a:r>
        </a:p>
      </xdr:txBody>
    </xdr:sp>
    <xdr:clientData/>
  </xdr:twoCellAnchor>
  <xdr:twoCellAnchor>
    <xdr:from>
      <xdr:col>1</xdr:col>
      <xdr:colOff>1333500</xdr:colOff>
      <xdr:row>0</xdr:row>
      <xdr:rowOff>88900</xdr:rowOff>
    </xdr:from>
    <xdr:to>
      <xdr:col>1</xdr:col>
      <xdr:colOff>2182283</xdr:colOff>
      <xdr:row>0</xdr:row>
      <xdr:rowOff>300567</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7BC27D38-CF6B-7C44-B1C9-F3CDD03A9187}"/>
            </a:ext>
          </a:extLst>
        </xdr:cNvPr>
        <xdr:cNvSpPr/>
      </xdr:nvSpPr>
      <xdr:spPr>
        <a:xfrm>
          <a:off x="4991100" y="88900"/>
          <a:ext cx="848783" cy="2116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Examples</a:t>
          </a:r>
        </a:p>
      </xdr:txBody>
    </xdr:sp>
    <xdr:clientData/>
  </xdr:twoCellAnchor>
  <xdr:twoCellAnchor>
    <xdr:from>
      <xdr:col>1</xdr:col>
      <xdr:colOff>2260600</xdr:colOff>
      <xdr:row>0</xdr:row>
      <xdr:rowOff>88900</xdr:rowOff>
    </xdr:from>
    <xdr:to>
      <xdr:col>1</xdr:col>
      <xdr:colOff>3225800</xdr:colOff>
      <xdr:row>0</xdr:row>
      <xdr:rowOff>304800</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780652AE-8B77-364B-93E9-4DBB64D866B8}"/>
            </a:ext>
          </a:extLst>
        </xdr:cNvPr>
        <xdr:cNvSpPr/>
      </xdr:nvSpPr>
      <xdr:spPr>
        <a:xfrm>
          <a:off x="5918200" y="88900"/>
          <a:ext cx="965200" cy="2159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Model Info</a:t>
          </a:r>
        </a:p>
      </xdr:txBody>
    </xdr:sp>
    <xdr:clientData/>
  </xdr:twoCellAnchor>
  <xdr:twoCellAnchor>
    <xdr:from>
      <xdr:col>0</xdr:col>
      <xdr:colOff>990600</xdr:colOff>
      <xdr:row>0</xdr:row>
      <xdr:rowOff>88900</xdr:rowOff>
    </xdr:from>
    <xdr:to>
      <xdr:col>0</xdr:col>
      <xdr:colOff>1981200</xdr:colOff>
      <xdr:row>0</xdr:row>
      <xdr:rowOff>317500</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10C7808C-B63A-A045-BF77-E1D8E8098EF1}"/>
            </a:ext>
          </a:extLst>
        </xdr:cNvPr>
        <xdr:cNvSpPr/>
      </xdr:nvSpPr>
      <xdr:spPr>
        <a:xfrm>
          <a:off x="990600" y="88900"/>
          <a:ext cx="990600" cy="2286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Instructions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101600</xdr:colOff>
      <xdr:row>0</xdr:row>
      <xdr:rowOff>76200</xdr:rowOff>
    </xdr:from>
    <xdr:to>
      <xdr:col>0</xdr:col>
      <xdr:colOff>1117600</xdr:colOff>
      <xdr:row>0</xdr:row>
      <xdr:rowOff>342900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8CF47891-661C-4941-9C0F-63905A337D42}"/>
            </a:ext>
          </a:extLst>
        </xdr:cNvPr>
        <xdr:cNvSpPr/>
      </xdr:nvSpPr>
      <xdr:spPr>
        <a:xfrm>
          <a:off x="101600" y="76200"/>
          <a:ext cx="10160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Back to Menu</a:t>
          </a:r>
        </a:p>
      </xdr:txBody>
    </xdr:sp>
    <xdr:clientData/>
  </xdr:twoCellAnchor>
  <xdr:twoCellAnchor>
    <xdr:from>
      <xdr:col>0</xdr:col>
      <xdr:colOff>1181100</xdr:colOff>
      <xdr:row>0</xdr:row>
      <xdr:rowOff>88900</xdr:rowOff>
    </xdr:from>
    <xdr:to>
      <xdr:col>0</xdr:col>
      <xdr:colOff>2247900</xdr:colOff>
      <xdr:row>0</xdr:row>
      <xdr:rowOff>342900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87F388E0-7087-5E43-96E7-D48F643F10ED}"/>
            </a:ext>
          </a:extLst>
        </xdr:cNvPr>
        <xdr:cNvSpPr/>
      </xdr:nvSpPr>
      <xdr:spPr>
        <a:xfrm>
          <a:off x="1181100" y="88900"/>
          <a:ext cx="10668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Instructions</a:t>
          </a:r>
        </a:p>
      </xdr:txBody>
    </xdr:sp>
    <xdr:clientData/>
  </xdr:twoCellAnchor>
  <xdr:twoCellAnchor>
    <xdr:from>
      <xdr:col>0</xdr:col>
      <xdr:colOff>2311400</xdr:colOff>
      <xdr:row>0</xdr:row>
      <xdr:rowOff>88900</xdr:rowOff>
    </xdr:from>
    <xdr:to>
      <xdr:col>1</xdr:col>
      <xdr:colOff>88900</xdr:colOff>
      <xdr:row>0</xdr:row>
      <xdr:rowOff>355600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5CF54ADA-1C63-4F47-B28A-096A135D5B69}"/>
            </a:ext>
          </a:extLst>
        </xdr:cNvPr>
        <xdr:cNvSpPr/>
      </xdr:nvSpPr>
      <xdr:spPr>
        <a:xfrm>
          <a:off x="2311400" y="88900"/>
          <a:ext cx="9906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About</a:t>
          </a:r>
        </a:p>
      </xdr:txBody>
    </xdr:sp>
    <xdr:clientData/>
  </xdr:twoCellAnchor>
  <xdr:twoCellAnchor>
    <xdr:from>
      <xdr:col>1</xdr:col>
      <xdr:colOff>190500</xdr:colOff>
      <xdr:row>0</xdr:row>
      <xdr:rowOff>88900</xdr:rowOff>
    </xdr:from>
    <xdr:to>
      <xdr:col>1</xdr:col>
      <xdr:colOff>1066800</xdr:colOff>
      <xdr:row>0</xdr:row>
      <xdr:rowOff>368300</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C5963B80-858C-F846-A52E-D05FBAE4B87A}"/>
            </a:ext>
          </a:extLst>
        </xdr:cNvPr>
        <xdr:cNvSpPr/>
      </xdr:nvSpPr>
      <xdr:spPr>
        <a:xfrm>
          <a:off x="3403600" y="88900"/>
          <a:ext cx="876300" cy="2794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Definitions</a:t>
          </a:r>
        </a:p>
      </xdr:txBody>
    </xdr:sp>
    <xdr:clientData/>
  </xdr:twoCellAnchor>
  <xdr:twoCellAnchor>
    <xdr:from>
      <xdr:col>1</xdr:col>
      <xdr:colOff>1143000</xdr:colOff>
      <xdr:row>0</xdr:row>
      <xdr:rowOff>88900</xdr:rowOff>
    </xdr:from>
    <xdr:to>
      <xdr:col>1</xdr:col>
      <xdr:colOff>1993900</xdr:colOff>
      <xdr:row>0</xdr:row>
      <xdr:rowOff>368300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C5ADA660-6FEC-2E48-AD31-A55A3F5D0F4F}"/>
            </a:ext>
          </a:extLst>
        </xdr:cNvPr>
        <xdr:cNvSpPr/>
      </xdr:nvSpPr>
      <xdr:spPr>
        <a:xfrm>
          <a:off x="4356100" y="88900"/>
          <a:ext cx="850900" cy="2794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The Tool</a:t>
          </a:r>
        </a:p>
      </xdr:txBody>
    </xdr:sp>
    <xdr:clientData/>
  </xdr:twoCellAnchor>
  <xdr:twoCellAnchor>
    <xdr:from>
      <xdr:col>2</xdr:col>
      <xdr:colOff>711200</xdr:colOff>
      <xdr:row>0</xdr:row>
      <xdr:rowOff>101600</xdr:rowOff>
    </xdr:from>
    <xdr:to>
      <xdr:col>2</xdr:col>
      <xdr:colOff>1676400</xdr:colOff>
      <xdr:row>0</xdr:row>
      <xdr:rowOff>381000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EDB269F4-1819-944D-B94A-2CF9CCBCED84}"/>
            </a:ext>
          </a:extLst>
        </xdr:cNvPr>
        <xdr:cNvSpPr/>
      </xdr:nvSpPr>
      <xdr:spPr>
        <a:xfrm>
          <a:off x="7137400" y="101600"/>
          <a:ext cx="965200" cy="2794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Model Info</a:t>
          </a:r>
        </a:p>
      </xdr:txBody>
    </xdr:sp>
    <xdr:clientData/>
  </xdr:twoCellAnchor>
  <xdr:twoCellAnchor>
    <xdr:from>
      <xdr:col>1</xdr:col>
      <xdr:colOff>3111500</xdr:colOff>
      <xdr:row>0</xdr:row>
      <xdr:rowOff>101600</xdr:rowOff>
    </xdr:from>
    <xdr:to>
      <xdr:col>2</xdr:col>
      <xdr:colOff>622300</xdr:colOff>
      <xdr:row>0</xdr:row>
      <xdr:rowOff>368300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E2B9F942-D058-EA4B-951D-93BDD6BEEA0A}"/>
            </a:ext>
          </a:extLst>
        </xdr:cNvPr>
        <xdr:cNvSpPr/>
      </xdr:nvSpPr>
      <xdr:spPr>
        <a:xfrm>
          <a:off x="6324600" y="101600"/>
          <a:ext cx="7239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Sources</a:t>
          </a:r>
        </a:p>
      </xdr:txBody>
    </xdr:sp>
    <xdr:clientData/>
  </xdr:twoCellAnchor>
  <xdr:twoCellAnchor>
    <xdr:from>
      <xdr:col>2</xdr:col>
      <xdr:colOff>1752600</xdr:colOff>
      <xdr:row>0</xdr:row>
      <xdr:rowOff>101600</xdr:rowOff>
    </xdr:from>
    <xdr:to>
      <xdr:col>2</xdr:col>
      <xdr:colOff>2844800</xdr:colOff>
      <xdr:row>0</xdr:row>
      <xdr:rowOff>381000</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6715B273-BE7C-3B45-BA2A-DEC906E25670}"/>
            </a:ext>
          </a:extLst>
        </xdr:cNvPr>
        <xdr:cNvSpPr/>
      </xdr:nvSpPr>
      <xdr:spPr>
        <a:xfrm>
          <a:off x="8178800" y="101600"/>
          <a:ext cx="1092200" cy="2794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Version History</a:t>
          </a:r>
        </a:p>
      </xdr:txBody>
    </xdr:sp>
    <xdr:clientData/>
  </xdr:twoCellAnchor>
  <xdr:twoCellAnchor>
    <xdr:from>
      <xdr:col>1</xdr:col>
      <xdr:colOff>2070100</xdr:colOff>
      <xdr:row>0</xdr:row>
      <xdr:rowOff>101600</xdr:rowOff>
    </xdr:from>
    <xdr:to>
      <xdr:col>1</xdr:col>
      <xdr:colOff>3016827</xdr:colOff>
      <xdr:row>0</xdr:row>
      <xdr:rowOff>355600</xdr:rowOff>
    </xdr:to>
    <xdr:sp macro="" textlink="">
      <xdr:nvSpPr>
        <xdr:cNvPr id="10" name="Rectangle 9">
          <a:hlinkClick xmlns:r="http://schemas.openxmlformats.org/officeDocument/2006/relationships" r:id="rId9"/>
          <a:extLst>
            <a:ext uri="{FF2B5EF4-FFF2-40B4-BE49-F238E27FC236}">
              <a16:creationId xmlns:a16="http://schemas.microsoft.com/office/drawing/2014/main" id="{A100C565-E3D9-CA45-851F-0F668B530CE1}"/>
            </a:ext>
          </a:extLst>
        </xdr:cNvPr>
        <xdr:cNvSpPr/>
      </xdr:nvSpPr>
      <xdr:spPr>
        <a:xfrm>
          <a:off x="5283200" y="101600"/>
          <a:ext cx="946727"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Mapping</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76200</xdr:colOff>
      <xdr:row>0</xdr:row>
      <xdr:rowOff>88900</xdr:rowOff>
    </xdr:from>
    <xdr:to>
      <xdr:col>0</xdr:col>
      <xdr:colOff>1104900</xdr:colOff>
      <xdr:row>0</xdr:row>
      <xdr:rowOff>355600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B874738C-B32F-4942-94C0-448A8E1CBBF7}"/>
            </a:ext>
          </a:extLst>
        </xdr:cNvPr>
        <xdr:cNvSpPr/>
      </xdr:nvSpPr>
      <xdr:spPr>
        <a:xfrm>
          <a:off x="76200" y="88900"/>
          <a:ext cx="10287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Back to Menu</a:t>
          </a:r>
        </a:p>
      </xdr:txBody>
    </xdr:sp>
    <xdr:clientData/>
  </xdr:twoCellAnchor>
  <xdr:twoCellAnchor>
    <xdr:from>
      <xdr:col>0</xdr:col>
      <xdr:colOff>1181100</xdr:colOff>
      <xdr:row>0</xdr:row>
      <xdr:rowOff>88900</xdr:rowOff>
    </xdr:from>
    <xdr:to>
      <xdr:col>0</xdr:col>
      <xdr:colOff>2159000</xdr:colOff>
      <xdr:row>0</xdr:row>
      <xdr:rowOff>355600</xdr:rowOff>
    </xdr:to>
    <xdr:sp macro="" textlink="">
      <xdr:nvSpPr>
        <xdr:cNvPr id="14" name="Rectangle 13">
          <a:hlinkClick xmlns:r="http://schemas.openxmlformats.org/officeDocument/2006/relationships" r:id="rId2"/>
          <a:extLst>
            <a:ext uri="{FF2B5EF4-FFF2-40B4-BE49-F238E27FC236}">
              <a16:creationId xmlns:a16="http://schemas.microsoft.com/office/drawing/2014/main" id="{E75E83DB-EA25-8C43-85F0-4478279D1371}"/>
            </a:ext>
          </a:extLst>
        </xdr:cNvPr>
        <xdr:cNvSpPr/>
      </xdr:nvSpPr>
      <xdr:spPr>
        <a:xfrm>
          <a:off x="1181100" y="88900"/>
          <a:ext cx="9779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Instructions</a:t>
          </a:r>
        </a:p>
      </xdr:txBody>
    </xdr:sp>
    <xdr:clientData/>
  </xdr:twoCellAnchor>
  <xdr:twoCellAnchor>
    <xdr:from>
      <xdr:col>0</xdr:col>
      <xdr:colOff>2260600</xdr:colOff>
      <xdr:row>0</xdr:row>
      <xdr:rowOff>88900</xdr:rowOff>
    </xdr:from>
    <xdr:to>
      <xdr:col>0</xdr:col>
      <xdr:colOff>3136900</xdr:colOff>
      <xdr:row>0</xdr:row>
      <xdr:rowOff>355600</xdr:rowOff>
    </xdr:to>
    <xdr:sp macro="" textlink="">
      <xdr:nvSpPr>
        <xdr:cNvPr id="15" name="Rectangle 14">
          <a:hlinkClick xmlns:r="http://schemas.openxmlformats.org/officeDocument/2006/relationships" r:id="rId3"/>
          <a:extLst>
            <a:ext uri="{FF2B5EF4-FFF2-40B4-BE49-F238E27FC236}">
              <a16:creationId xmlns:a16="http://schemas.microsoft.com/office/drawing/2014/main" id="{4131D1DB-981E-D44A-8CF9-85FE9179438E}"/>
            </a:ext>
          </a:extLst>
        </xdr:cNvPr>
        <xdr:cNvSpPr/>
      </xdr:nvSpPr>
      <xdr:spPr>
        <a:xfrm>
          <a:off x="2260600" y="88900"/>
          <a:ext cx="8763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About</a:t>
          </a:r>
        </a:p>
      </xdr:txBody>
    </xdr:sp>
    <xdr:clientData/>
  </xdr:twoCellAnchor>
  <xdr:twoCellAnchor>
    <xdr:from>
      <xdr:col>0</xdr:col>
      <xdr:colOff>3213100</xdr:colOff>
      <xdr:row>0</xdr:row>
      <xdr:rowOff>88900</xdr:rowOff>
    </xdr:from>
    <xdr:to>
      <xdr:col>1</xdr:col>
      <xdr:colOff>647700</xdr:colOff>
      <xdr:row>0</xdr:row>
      <xdr:rowOff>355600</xdr:rowOff>
    </xdr:to>
    <xdr:sp macro="" textlink="">
      <xdr:nvSpPr>
        <xdr:cNvPr id="20" name="Rectangle 19">
          <a:hlinkClick xmlns:r="http://schemas.openxmlformats.org/officeDocument/2006/relationships" r:id="rId4"/>
          <a:extLst>
            <a:ext uri="{FF2B5EF4-FFF2-40B4-BE49-F238E27FC236}">
              <a16:creationId xmlns:a16="http://schemas.microsoft.com/office/drawing/2014/main" id="{DEA81B03-180C-DB42-B150-B014D6928CC4}"/>
            </a:ext>
          </a:extLst>
        </xdr:cNvPr>
        <xdr:cNvSpPr/>
      </xdr:nvSpPr>
      <xdr:spPr>
        <a:xfrm>
          <a:off x="3213100" y="88900"/>
          <a:ext cx="9906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Definitions</a:t>
          </a:r>
        </a:p>
      </xdr:txBody>
    </xdr:sp>
    <xdr:clientData/>
  </xdr:twoCellAnchor>
  <xdr:twoCellAnchor>
    <xdr:from>
      <xdr:col>1</xdr:col>
      <xdr:colOff>723900</xdr:colOff>
      <xdr:row>0</xdr:row>
      <xdr:rowOff>101600</xdr:rowOff>
    </xdr:from>
    <xdr:to>
      <xdr:col>1</xdr:col>
      <xdr:colOff>1689100</xdr:colOff>
      <xdr:row>0</xdr:row>
      <xdr:rowOff>368300</xdr:rowOff>
    </xdr:to>
    <xdr:sp macro="" textlink="">
      <xdr:nvSpPr>
        <xdr:cNvPr id="21" name="Rectangle 20">
          <a:hlinkClick xmlns:r="http://schemas.openxmlformats.org/officeDocument/2006/relationships" r:id="rId5"/>
          <a:extLst>
            <a:ext uri="{FF2B5EF4-FFF2-40B4-BE49-F238E27FC236}">
              <a16:creationId xmlns:a16="http://schemas.microsoft.com/office/drawing/2014/main" id="{388EC97E-8B5E-774A-B623-9780403588ED}"/>
            </a:ext>
          </a:extLst>
        </xdr:cNvPr>
        <xdr:cNvSpPr/>
      </xdr:nvSpPr>
      <xdr:spPr>
        <a:xfrm>
          <a:off x="4279900" y="101600"/>
          <a:ext cx="9652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The Tool</a:t>
          </a:r>
        </a:p>
      </xdr:txBody>
    </xdr:sp>
    <xdr:clientData/>
  </xdr:twoCellAnchor>
  <xdr:twoCellAnchor>
    <xdr:from>
      <xdr:col>1</xdr:col>
      <xdr:colOff>1790700</xdr:colOff>
      <xdr:row>0</xdr:row>
      <xdr:rowOff>114300</xdr:rowOff>
    </xdr:from>
    <xdr:to>
      <xdr:col>1</xdr:col>
      <xdr:colOff>2781300</xdr:colOff>
      <xdr:row>0</xdr:row>
      <xdr:rowOff>368300</xdr:rowOff>
    </xdr:to>
    <xdr:sp macro="" textlink="">
      <xdr:nvSpPr>
        <xdr:cNvPr id="22" name="Rectangle 21">
          <a:hlinkClick xmlns:r="http://schemas.openxmlformats.org/officeDocument/2006/relationships" r:id="rId6"/>
          <a:extLst>
            <a:ext uri="{FF2B5EF4-FFF2-40B4-BE49-F238E27FC236}">
              <a16:creationId xmlns:a16="http://schemas.microsoft.com/office/drawing/2014/main" id="{FD35BFBF-9261-954A-91CB-3D7DB4BAE3C1}"/>
            </a:ext>
          </a:extLst>
        </xdr:cNvPr>
        <xdr:cNvSpPr/>
      </xdr:nvSpPr>
      <xdr:spPr>
        <a:xfrm>
          <a:off x="5346700" y="114300"/>
          <a:ext cx="9906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Mapping</a:t>
          </a:r>
        </a:p>
      </xdr:txBody>
    </xdr:sp>
    <xdr:clientData/>
  </xdr:twoCellAnchor>
  <xdr:twoCellAnchor>
    <xdr:from>
      <xdr:col>1</xdr:col>
      <xdr:colOff>2895600</xdr:colOff>
      <xdr:row>0</xdr:row>
      <xdr:rowOff>114300</xdr:rowOff>
    </xdr:from>
    <xdr:to>
      <xdr:col>1</xdr:col>
      <xdr:colOff>3797300</xdr:colOff>
      <xdr:row>0</xdr:row>
      <xdr:rowOff>381000</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1737BBBF-27E3-AE45-A102-11A408382B32}"/>
            </a:ext>
          </a:extLst>
        </xdr:cNvPr>
        <xdr:cNvSpPr/>
      </xdr:nvSpPr>
      <xdr:spPr>
        <a:xfrm>
          <a:off x="6451600" y="114300"/>
          <a:ext cx="9017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Examples</a:t>
          </a:r>
        </a:p>
      </xdr:txBody>
    </xdr:sp>
    <xdr:clientData/>
  </xdr:twoCellAnchor>
  <xdr:twoCellAnchor>
    <xdr:from>
      <xdr:col>1</xdr:col>
      <xdr:colOff>4953000</xdr:colOff>
      <xdr:row>0</xdr:row>
      <xdr:rowOff>127000</xdr:rowOff>
    </xdr:from>
    <xdr:to>
      <xdr:col>2</xdr:col>
      <xdr:colOff>292100</xdr:colOff>
      <xdr:row>0</xdr:row>
      <xdr:rowOff>381000</xdr:rowOff>
    </xdr:to>
    <xdr:sp macro="" textlink="">
      <xdr:nvSpPr>
        <xdr:cNvPr id="25" name="Rectangle 24">
          <a:hlinkClick xmlns:r="http://schemas.openxmlformats.org/officeDocument/2006/relationships" r:id="rId8"/>
          <a:extLst>
            <a:ext uri="{FF2B5EF4-FFF2-40B4-BE49-F238E27FC236}">
              <a16:creationId xmlns:a16="http://schemas.microsoft.com/office/drawing/2014/main" id="{BF242784-3A58-A947-8A27-8B6452864FF9}"/>
            </a:ext>
          </a:extLst>
        </xdr:cNvPr>
        <xdr:cNvSpPr/>
      </xdr:nvSpPr>
      <xdr:spPr>
        <a:xfrm>
          <a:off x="8509000" y="127000"/>
          <a:ext cx="12700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Version History</a:t>
          </a:r>
        </a:p>
      </xdr:txBody>
    </xdr:sp>
    <xdr:clientData/>
  </xdr:twoCellAnchor>
  <xdr:twoCellAnchor>
    <xdr:from>
      <xdr:col>1</xdr:col>
      <xdr:colOff>3898900</xdr:colOff>
      <xdr:row>0</xdr:row>
      <xdr:rowOff>127000</xdr:rowOff>
    </xdr:from>
    <xdr:to>
      <xdr:col>1</xdr:col>
      <xdr:colOff>4851400</xdr:colOff>
      <xdr:row>0</xdr:row>
      <xdr:rowOff>381000</xdr:rowOff>
    </xdr:to>
    <xdr:sp macro="" textlink="">
      <xdr:nvSpPr>
        <xdr:cNvPr id="26" name="Rectangle 25">
          <a:hlinkClick xmlns:r="http://schemas.openxmlformats.org/officeDocument/2006/relationships" r:id="rId9"/>
          <a:extLst>
            <a:ext uri="{FF2B5EF4-FFF2-40B4-BE49-F238E27FC236}">
              <a16:creationId xmlns:a16="http://schemas.microsoft.com/office/drawing/2014/main" id="{C77BBEAB-1821-194C-A1F7-E2165BECDEBE}"/>
            </a:ext>
          </a:extLst>
        </xdr:cNvPr>
        <xdr:cNvSpPr/>
      </xdr:nvSpPr>
      <xdr:spPr>
        <a:xfrm>
          <a:off x="7454900" y="127000"/>
          <a:ext cx="9525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Model Info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101600</xdr:colOff>
      <xdr:row>0</xdr:row>
      <xdr:rowOff>114300</xdr:rowOff>
    </xdr:from>
    <xdr:to>
      <xdr:col>0</xdr:col>
      <xdr:colOff>1117600</xdr:colOff>
      <xdr:row>0</xdr:row>
      <xdr:rowOff>381000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AD56C610-20EF-5D41-8384-F1BD2F3B9723}"/>
            </a:ext>
          </a:extLst>
        </xdr:cNvPr>
        <xdr:cNvSpPr/>
      </xdr:nvSpPr>
      <xdr:spPr>
        <a:xfrm>
          <a:off x="101600" y="114300"/>
          <a:ext cx="10160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Back to Menu</a:t>
          </a:r>
        </a:p>
      </xdr:txBody>
    </xdr:sp>
    <xdr:clientData/>
  </xdr:twoCellAnchor>
  <xdr:twoCellAnchor>
    <xdr:from>
      <xdr:col>0</xdr:col>
      <xdr:colOff>114300</xdr:colOff>
      <xdr:row>0</xdr:row>
      <xdr:rowOff>508000</xdr:rowOff>
    </xdr:from>
    <xdr:to>
      <xdr:col>0</xdr:col>
      <xdr:colOff>1130300</xdr:colOff>
      <xdr:row>1</xdr:row>
      <xdr:rowOff>165100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A02DE8DB-C6F0-3446-BA43-D084A45140E6}"/>
            </a:ext>
          </a:extLst>
        </xdr:cNvPr>
        <xdr:cNvSpPr/>
      </xdr:nvSpPr>
      <xdr:spPr>
        <a:xfrm>
          <a:off x="114300" y="508000"/>
          <a:ext cx="1016000" cy="2286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Instructions</a:t>
          </a:r>
        </a:p>
      </xdr:txBody>
    </xdr:sp>
    <xdr:clientData/>
  </xdr:twoCellAnchor>
  <xdr:twoCellAnchor>
    <xdr:from>
      <xdr:col>0</xdr:col>
      <xdr:colOff>114300</xdr:colOff>
      <xdr:row>1</xdr:row>
      <xdr:rowOff>266700</xdr:rowOff>
    </xdr:from>
    <xdr:to>
      <xdr:col>0</xdr:col>
      <xdr:colOff>1130300</xdr:colOff>
      <xdr:row>2</xdr:row>
      <xdr:rowOff>88900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87CA4BB-7CFC-E544-AA61-347811FC09C4}"/>
            </a:ext>
          </a:extLst>
        </xdr:cNvPr>
        <xdr:cNvSpPr/>
      </xdr:nvSpPr>
      <xdr:spPr>
        <a:xfrm>
          <a:off x="114300" y="838200"/>
          <a:ext cx="1016000" cy="2159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About</a:t>
          </a:r>
        </a:p>
      </xdr:txBody>
    </xdr:sp>
    <xdr:clientData/>
  </xdr:twoCellAnchor>
  <xdr:twoCellAnchor>
    <xdr:from>
      <xdr:col>0</xdr:col>
      <xdr:colOff>127000</xdr:colOff>
      <xdr:row>2</xdr:row>
      <xdr:rowOff>190500</xdr:rowOff>
    </xdr:from>
    <xdr:to>
      <xdr:col>0</xdr:col>
      <xdr:colOff>1130300</xdr:colOff>
      <xdr:row>2</xdr:row>
      <xdr:rowOff>444500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3033B0FC-2385-D64B-94A3-0F42A924B143}"/>
            </a:ext>
          </a:extLst>
        </xdr:cNvPr>
        <xdr:cNvSpPr/>
      </xdr:nvSpPr>
      <xdr:spPr>
        <a:xfrm>
          <a:off x="127000" y="1155700"/>
          <a:ext cx="10033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Definitions</a:t>
          </a:r>
        </a:p>
      </xdr:txBody>
    </xdr:sp>
    <xdr:clientData/>
  </xdr:twoCellAnchor>
  <xdr:twoCellAnchor>
    <xdr:from>
      <xdr:col>0</xdr:col>
      <xdr:colOff>127000</xdr:colOff>
      <xdr:row>2</xdr:row>
      <xdr:rowOff>533400</xdr:rowOff>
    </xdr:from>
    <xdr:to>
      <xdr:col>0</xdr:col>
      <xdr:colOff>1117600</xdr:colOff>
      <xdr:row>3</xdr:row>
      <xdr:rowOff>63500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EC4D17DD-A72D-7C47-8228-69D65208BE9C}"/>
            </a:ext>
          </a:extLst>
        </xdr:cNvPr>
        <xdr:cNvSpPr/>
      </xdr:nvSpPr>
      <xdr:spPr>
        <a:xfrm>
          <a:off x="127000" y="1498600"/>
          <a:ext cx="9906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The Tool</a:t>
          </a:r>
        </a:p>
      </xdr:txBody>
    </xdr:sp>
    <xdr:clientData/>
  </xdr:twoCellAnchor>
  <xdr:twoCellAnchor>
    <xdr:from>
      <xdr:col>0</xdr:col>
      <xdr:colOff>101600</xdr:colOff>
      <xdr:row>3</xdr:row>
      <xdr:rowOff>139700</xdr:rowOff>
    </xdr:from>
    <xdr:to>
      <xdr:col>0</xdr:col>
      <xdr:colOff>1117600</xdr:colOff>
      <xdr:row>3</xdr:row>
      <xdr:rowOff>381000</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629BA52E-B796-304D-819D-BF9A3AB07A78}"/>
            </a:ext>
          </a:extLst>
        </xdr:cNvPr>
        <xdr:cNvSpPr/>
      </xdr:nvSpPr>
      <xdr:spPr>
        <a:xfrm>
          <a:off x="101600" y="1841500"/>
          <a:ext cx="1016000" cy="2413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accent1"/>
              </a:solidFill>
            </a:rPr>
            <a:t>Mapping</a:t>
          </a:r>
        </a:p>
      </xdr:txBody>
    </xdr:sp>
    <xdr:clientData/>
  </xdr:twoCellAnchor>
  <xdr:twoCellAnchor>
    <xdr:from>
      <xdr:col>0</xdr:col>
      <xdr:colOff>101600</xdr:colOff>
      <xdr:row>3</xdr:row>
      <xdr:rowOff>482600</xdr:rowOff>
    </xdr:from>
    <xdr:to>
      <xdr:col>0</xdr:col>
      <xdr:colOff>1104900</xdr:colOff>
      <xdr:row>4</xdr:row>
      <xdr:rowOff>190500</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4A6D50D1-C43A-7041-94D8-F475B36A6CD8}"/>
            </a:ext>
          </a:extLst>
        </xdr:cNvPr>
        <xdr:cNvSpPr/>
      </xdr:nvSpPr>
      <xdr:spPr>
        <a:xfrm>
          <a:off x="101600" y="2184400"/>
          <a:ext cx="1003300" cy="2794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Examples</a:t>
          </a:r>
        </a:p>
      </xdr:txBody>
    </xdr:sp>
    <xdr:clientData/>
  </xdr:twoCellAnchor>
  <xdr:twoCellAnchor>
    <xdr:from>
      <xdr:col>0</xdr:col>
      <xdr:colOff>76200</xdr:colOff>
      <xdr:row>4</xdr:row>
      <xdr:rowOff>673100</xdr:rowOff>
    </xdr:from>
    <xdr:to>
      <xdr:col>0</xdr:col>
      <xdr:colOff>1117600</xdr:colOff>
      <xdr:row>6</xdr:row>
      <xdr:rowOff>139700</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761EFEDC-1357-5D47-AEC2-6FF97016D759}"/>
            </a:ext>
          </a:extLst>
        </xdr:cNvPr>
        <xdr:cNvSpPr/>
      </xdr:nvSpPr>
      <xdr:spPr>
        <a:xfrm>
          <a:off x="76200" y="2921000"/>
          <a:ext cx="1041400" cy="5715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Version History</a:t>
          </a:r>
        </a:p>
      </xdr:txBody>
    </xdr:sp>
    <xdr:clientData/>
  </xdr:twoCellAnchor>
  <xdr:twoCellAnchor>
    <xdr:from>
      <xdr:col>0</xdr:col>
      <xdr:colOff>88900</xdr:colOff>
      <xdr:row>4</xdr:row>
      <xdr:rowOff>304800</xdr:rowOff>
    </xdr:from>
    <xdr:to>
      <xdr:col>0</xdr:col>
      <xdr:colOff>1104900</xdr:colOff>
      <xdr:row>4</xdr:row>
      <xdr:rowOff>596900</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6F703C7D-DA76-6B43-B30D-A0BFBB5AB375}"/>
            </a:ext>
          </a:extLst>
        </xdr:cNvPr>
        <xdr:cNvSpPr/>
      </xdr:nvSpPr>
      <xdr:spPr>
        <a:xfrm>
          <a:off x="88900" y="2578100"/>
          <a:ext cx="1016000" cy="2921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Sources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152400</xdr:colOff>
      <xdr:row>0</xdr:row>
      <xdr:rowOff>508000</xdr:rowOff>
    </xdr:from>
    <xdr:to>
      <xdr:col>0</xdr:col>
      <xdr:colOff>1117600</xdr:colOff>
      <xdr:row>1</xdr:row>
      <xdr:rowOff>165100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74A0C56-FD72-7940-A4C5-37690BF6BBAB}"/>
            </a:ext>
          </a:extLst>
        </xdr:cNvPr>
        <xdr:cNvSpPr/>
      </xdr:nvSpPr>
      <xdr:spPr>
        <a:xfrm>
          <a:off x="152400" y="508000"/>
          <a:ext cx="9652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Back to Menu</a:t>
          </a:r>
        </a:p>
      </xdr:txBody>
    </xdr:sp>
    <xdr:clientData/>
  </xdr:twoCellAnchor>
  <xdr:twoCellAnchor>
    <xdr:from>
      <xdr:col>0</xdr:col>
      <xdr:colOff>139700</xdr:colOff>
      <xdr:row>2</xdr:row>
      <xdr:rowOff>723900</xdr:rowOff>
    </xdr:from>
    <xdr:to>
      <xdr:col>0</xdr:col>
      <xdr:colOff>1092200</xdr:colOff>
      <xdr:row>2</xdr:row>
      <xdr:rowOff>977900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05A2326-5C82-E149-A33F-F99820EA88F6}"/>
            </a:ext>
          </a:extLst>
        </xdr:cNvPr>
        <xdr:cNvSpPr/>
      </xdr:nvSpPr>
      <xdr:spPr>
        <a:xfrm>
          <a:off x="139700" y="3352800"/>
          <a:ext cx="9525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Model Info</a:t>
          </a:r>
        </a:p>
      </xdr:txBody>
    </xdr:sp>
    <xdr:clientData/>
  </xdr:twoCellAnchor>
  <xdr:twoCellAnchor>
    <xdr:from>
      <xdr:col>0</xdr:col>
      <xdr:colOff>152400</xdr:colOff>
      <xdr:row>2</xdr:row>
      <xdr:rowOff>355600</xdr:rowOff>
    </xdr:from>
    <xdr:to>
      <xdr:col>0</xdr:col>
      <xdr:colOff>1117600</xdr:colOff>
      <xdr:row>2</xdr:row>
      <xdr:rowOff>584200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858BC21F-13D6-7A4C-B20B-C3018FC6FFE7}"/>
            </a:ext>
          </a:extLst>
        </xdr:cNvPr>
        <xdr:cNvSpPr/>
      </xdr:nvSpPr>
      <xdr:spPr>
        <a:xfrm>
          <a:off x="152400" y="2984500"/>
          <a:ext cx="965200" cy="2286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Sources</a:t>
          </a:r>
        </a:p>
      </xdr:txBody>
    </xdr:sp>
    <xdr:clientData/>
  </xdr:twoCellAnchor>
  <xdr:twoCellAnchor>
    <xdr:from>
      <xdr:col>0</xdr:col>
      <xdr:colOff>165100</xdr:colOff>
      <xdr:row>2</xdr:row>
      <xdr:rowOff>12700</xdr:rowOff>
    </xdr:from>
    <xdr:to>
      <xdr:col>0</xdr:col>
      <xdr:colOff>1117600</xdr:colOff>
      <xdr:row>2</xdr:row>
      <xdr:rowOff>254000</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9ED3765-A680-4141-836F-DA90622127DB}"/>
            </a:ext>
          </a:extLst>
        </xdr:cNvPr>
        <xdr:cNvSpPr/>
      </xdr:nvSpPr>
      <xdr:spPr>
        <a:xfrm>
          <a:off x="165100" y="2641600"/>
          <a:ext cx="952500" cy="2413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Examples</a:t>
          </a:r>
        </a:p>
      </xdr:txBody>
    </xdr:sp>
    <xdr:clientData/>
  </xdr:twoCellAnchor>
  <xdr:twoCellAnchor>
    <xdr:from>
      <xdr:col>0</xdr:col>
      <xdr:colOff>152400</xdr:colOff>
      <xdr:row>1</xdr:row>
      <xdr:rowOff>1282700</xdr:rowOff>
    </xdr:from>
    <xdr:to>
      <xdr:col>0</xdr:col>
      <xdr:colOff>1143000</xdr:colOff>
      <xdr:row>1</xdr:row>
      <xdr:rowOff>1532467</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A280E24B-6E0C-1244-8245-9AAF261AC09F}"/>
            </a:ext>
          </a:extLst>
        </xdr:cNvPr>
        <xdr:cNvSpPr/>
      </xdr:nvSpPr>
      <xdr:spPr>
        <a:xfrm>
          <a:off x="152400" y="1879600"/>
          <a:ext cx="990600" cy="249767"/>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The Tool</a:t>
          </a:r>
        </a:p>
      </xdr:txBody>
    </xdr:sp>
    <xdr:clientData/>
  </xdr:twoCellAnchor>
  <xdr:twoCellAnchor>
    <xdr:from>
      <xdr:col>0</xdr:col>
      <xdr:colOff>152400</xdr:colOff>
      <xdr:row>1</xdr:row>
      <xdr:rowOff>927100</xdr:rowOff>
    </xdr:from>
    <xdr:to>
      <xdr:col>0</xdr:col>
      <xdr:colOff>1142999</xdr:colOff>
      <xdr:row>1</xdr:row>
      <xdr:rowOff>1168401</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37018342-DF27-8E4A-9623-E30B14D62BD9}"/>
            </a:ext>
          </a:extLst>
        </xdr:cNvPr>
        <xdr:cNvSpPr/>
      </xdr:nvSpPr>
      <xdr:spPr>
        <a:xfrm>
          <a:off x="152400" y="1524000"/>
          <a:ext cx="990599" cy="24130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Definitions</a:t>
          </a:r>
        </a:p>
      </xdr:txBody>
    </xdr:sp>
    <xdr:clientData/>
  </xdr:twoCellAnchor>
  <xdr:twoCellAnchor>
    <xdr:from>
      <xdr:col>0</xdr:col>
      <xdr:colOff>152401</xdr:colOff>
      <xdr:row>1</xdr:row>
      <xdr:rowOff>571500</xdr:rowOff>
    </xdr:from>
    <xdr:to>
      <xdr:col>0</xdr:col>
      <xdr:colOff>1117601</xdr:colOff>
      <xdr:row>1</xdr:row>
      <xdr:rowOff>825500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9C63BC11-BC78-0D4E-BD7B-05122F136AD8}"/>
            </a:ext>
          </a:extLst>
        </xdr:cNvPr>
        <xdr:cNvSpPr/>
      </xdr:nvSpPr>
      <xdr:spPr>
        <a:xfrm>
          <a:off x="152401" y="1168400"/>
          <a:ext cx="965200" cy="2540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About</a:t>
          </a:r>
        </a:p>
      </xdr:txBody>
    </xdr:sp>
    <xdr:clientData/>
  </xdr:twoCellAnchor>
  <xdr:twoCellAnchor>
    <xdr:from>
      <xdr:col>0</xdr:col>
      <xdr:colOff>152400</xdr:colOff>
      <xdr:row>1</xdr:row>
      <xdr:rowOff>254000</xdr:rowOff>
    </xdr:from>
    <xdr:to>
      <xdr:col>0</xdr:col>
      <xdr:colOff>1117600</xdr:colOff>
      <xdr:row>1</xdr:row>
      <xdr:rowOff>457200</xdr:rowOff>
    </xdr:to>
    <xdr:sp macro="" textlink="">
      <xdr:nvSpPr>
        <xdr:cNvPr id="9" name="Rectangle 8">
          <a:hlinkClick xmlns:r="http://schemas.openxmlformats.org/officeDocument/2006/relationships" r:id="rId8"/>
          <a:extLst>
            <a:ext uri="{FF2B5EF4-FFF2-40B4-BE49-F238E27FC236}">
              <a16:creationId xmlns:a16="http://schemas.microsoft.com/office/drawing/2014/main" id="{85FF41D9-3EC1-0B49-A615-0A33B5D94620}"/>
            </a:ext>
          </a:extLst>
        </xdr:cNvPr>
        <xdr:cNvSpPr/>
      </xdr:nvSpPr>
      <xdr:spPr>
        <a:xfrm>
          <a:off x="152400" y="850900"/>
          <a:ext cx="965200" cy="2032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Instructions</a:t>
          </a:r>
        </a:p>
      </xdr:txBody>
    </xdr:sp>
    <xdr:clientData/>
  </xdr:twoCellAnchor>
  <xdr:twoCellAnchor>
    <xdr:from>
      <xdr:col>0</xdr:col>
      <xdr:colOff>152400</xdr:colOff>
      <xdr:row>1</xdr:row>
      <xdr:rowOff>1651000</xdr:rowOff>
    </xdr:from>
    <xdr:to>
      <xdr:col>0</xdr:col>
      <xdr:colOff>1130300</xdr:colOff>
      <xdr:row>1</xdr:row>
      <xdr:rowOff>1917700</xdr:rowOff>
    </xdr:to>
    <xdr:sp macro="" textlink="">
      <xdr:nvSpPr>
        <xdr:cNvPr id="11" name="Rectangle 10">
          <a:hlinkClick xmlns:r="http://schemas.openxmlformats.org/officeDocument/2006/relationships" r:id="rId9"/>
          <a:extLst>
            <a:ext uri="{FF2B5EF4-FFF2-40B4-BE49-F238E27FC236}">
              <a16:creationId xmlns:a16="http://schemas.microsoft.com/office/drawing/2014/main" id="{DF02A470-A52D-3042-ABBD-97499C7FB9EB}"/>
            </a:ext>
          </a:extLst>
        </xdr:cNvPr>
        <xdr:cNvSpPr/>
      </xdr:nvSpPr>
      <xdr:spPr>
        <a:xfrm>
          <a:off x="152400" y="2247900"/>
          <a:ext cx="977900" cy="26670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solidFill>
            </a:rPr>
            <a:t>Mapping</a:t>
          </a:r>
        </a:p>
      </xdr:txBody>
    </xdr:sp>
    <xdr:clientData/>
  </xdr:twoCellAnchor>
</xdr:wsDr>
</file>

<file path=xl/persons/person.xml><?xml version="1.0" encoding="utf-8"?>
<personList xmlns="http://schemas.microsoft.com/office/spreadsheetml/2018/threadedcomments" xmlns:x="http://schemas.openxmlformats.org/spreadsheetml/2006/main">
  <person displayName="Tamiko Eto" id="{C3AECF38-7B8F-8A42-BB12-9753221002FF}" userId="99cb4dca4678088d"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57D851-95DD-0B4A-867E-0CAD65DB4CB3}" name="Table1" displayName="Table1" ref="A1:C1048357" totalsRowShown="0" headerRowDxfId="37" dataDxfId="36">
  <autoFilter ref="A1:C1048357" xr:uid="{B157D851-95DD-0B4A-867E-0CAD65DB4CB3}"/>
  <tableColumns count="3">
    <tableColumn id="2" xr3:uid="{A5BC8C5A-FD10-A843-8136-81FD78B8A866}" name="Subdomain" dataDxfId="40"/>
    <tableColumn id="3" xr3:uid="{C7347F96-6495-D74D-8184-0060A793BAEE}" name="Mitigation" dataDxfId="39"/>
    <tableColumn id="4" xr3:uid="{5408A266-87F1-0546-ADD6-B246625E3786}" name="Reviewer Prompts" dataDxfId="38"/>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8-09T21:43:47.04" personId="{C3AECF38-7B8F-8A42-BB12-9753221002FF}" id="{5802922C-5B4B-AC43-A262-51CC3EE69CF1}">
    <text>What it does: Looks at patterns in past data to guess what might happen next.
Example: Predicting which hospital patients are at highest risk of needing ICU care based on their vital signs.</text>
  </threadedComment>
  <threadedComment ref="C2" dT="2025-08-06T16:50:06.76" personId="{C3AECF38-7B8F-8A42-BB12-9753221002FF}" id="{A65B5203-459E-C34B-A87C-2D6021F0061D}">
    <text>Unequal treatment of individuals or groups by AI, often based on race, gender, or other sensitive characteristics, resulting in unfair outcomes and representation of those groups.
AI that exposes users to harmful, abusive, unsafe, or inappropriate content. May involve providing advice or encouraging action. Examples of toxic content include hate speech, violence, extremism, illegal acts, or child sexual abuse material, as well as content that violates community norms such as profanity, inflammatory political speech, or pornography.
Accuracy and effectiveness of AI decisions and actions are dependent on group membership, where decisions in AI system design and biased training data lead to unequal outcomes, reduced benefits, increased effort, and alienation of users.</text>
  </threadedComment>
  <threadedComment ref="E2" dT="2025-08-06T01:03:14.32" personId="{C3AECF38-7B8F-8A42-BB12-9753221002FF}" id="{C713AD7D-78B5-F74D-B253-F12BE3074F1D}">
    <text>[D]: Especially relevant when working with vulnerable populations, health disparities, or algorithms trained on biased datasets.</text>
  </threadedComment>
  <threadedComment ref="G2" dT="2025-08-06T16:39:56.23" personId="{C3AECF38-7B8F-8A42-BB12-9753221002FF}" id="{81CA608E-6F84-8845-A2B4-DD22D523F25F}">
    <text>The risk is caused by a decision or action made by humans</text>
  </threadedComment>
  <threadedComment ref="H2" dT="2025-08-06T16:43:05.82" personId="{C3AECF38-7B8F-8A42-BB12-9753221002FF}" id="{09A6D5B4-12AE-CD46-8477-252FE4E09524}">
    <text>The risk occurs due to an expected outcome from pursuing a goal</text>
  </threadedComment>
  <threadedComment ref="I2" dT="2025-08-06T16:46:10.58" personId="{C3AECF38-7B8F-8A42-BB12-9753221002FF}" id="{8544A87B-B821-8A49-AF82-5E68AFC1367E}">
    <text xml:space="preserve">Risk is introduced during development, training, testing (pre-deployment)
</text>
  </threadedComment>
  <threadedComment ref="A3" dT="2025-08-09T21:44:30.69" personId="{C3AECF38-7B8F-8A42-BB12-9753221002FF}" id="{4B42C95E-1D0E-D34C-89AD-CDB20849C7BC}">
    <text>What it does: Reads and generates human-like text by predicting the next word in a sequence.
Example: A chatbot that helps a patient understand a consent form by answering questions in plain language.
Example (education): A homework help bot that explains concepts to students in their own words.</text>
  </threadedComment>
  <threadedComment ref="C3" dT="2025-08-06T16:50:20.36" personId="{C3AECF38-7B8F-8A42-BB12-9753221002FF}" id="{9CC4D0A6-370A-A046-8354-C8B0811B93A6}">
    <text>AI systems that memorize and leak sensitive personal data or infer private information about individuals without their consent. Unexpected or unauthorized sharing of data and information can compromise user expectation of privacy, assist identity theft, or cause loss of confidential intellectual property.
Vulnerabilities that can be exploited in AI systems, software development toolchains, and hardware that results in unauthorized access, data and privacy breaches, or system manipulation causing unsafe outputs or behavior.</text>
  </threadedComment>
  <threadedComment ref="E3" dT="2025-08-06T01:03:34.68" personId="{C3AECF38-7B8F-8A42-BB12-9753221002FF}" id="{CFFA02BB-F9C4-0042-9E85-F455A7AC146B}">
    <text>[I]: Crucial for studies involving AI interfaces, chatbots, or any situation where participants interact directly with AI tools.</text>
  </threadedComment>
  <threadedComment ref="G3" dT="2025-08-06T16:40:03.64" personId="{C3AECF38-7B8F-8A42-BB12-9753221002FF}" id="{75294144-1886-F64E-BF94-FD9A43EC59F6}">
    <text xml:space="preserve">The risk is caused by a decision or action made by an AI system
</text>
  </threadedComment>
  <threadedComment ref="H3" dT="2025-08-06T16:43:14.76" personId="{C3AECF38-7B8F-8A42-BB12-9753221002FF}" id="{BBB5E3D8-BD95-934E-B50E-243A77CCD12E}">
    <text xml:space="preserve">The risk occurs due to an unexpected outcome from pursuing a goal
</text>
  </threadedComment>
  <threadedComment ref="I3" dT="2025-08-06T16:46:25.60" personId="{C3AECF38-7B8F-8A42-BB12-9753221002FF}" id="{D9DFF59F-C000-2744-8CA7-8D857545560F}">
    <text>Risk is introduced after the AI model has been trained and deployed</text>
  </threadedComment>
  <threadedComment ref="A4" dT="2025-08-09T21:44:43.53" personId="{C3AECF38-7B8F-8A42-BB12-9753221002FF}" id="{117F2524-84D5-0C44-AAE8-D4DBC4A06CDE}">
    <text>What it does: Creates new content—images, music, code, synthetic data—based on patterns it learned.
Example: A medical imaging tool that creates synthetic X-rays to help train other AI systems.
Example (military): A simulator that generates realistic battlefield environments for training.</text>
  </threadedComment>
  <threadedComment ref="C4" dT="2025-08-06T16:50:32.23" personId="{C3AECF38-7B8F-8A42-BB12-9753221002FF}" id="{891BF653-D55A-8E41-96C7-F93FD804B623}">
    <text>AI systems that inadvertently generate or spread incorrect or deceptive information, which can lead to inaccurate beliefs in users and undermine their autonomy. Humans that make decisions based on false beliefs can experience physical, emotional, or material harms
Highly personalized AI-generated misinformation that creates “filter bubbles” where individuals only see what matches their existing beliefs, undermining shared reality and weakening social cohesion and political processes.</text>
  </threadedComment>
  <threadedComment ref="E4" dT="2025-08-06T01:03:54.51" personId="{C3AECF38-7B8F-8A42-BB12-9753221002FF}" id="{A1E9DC9D-1E9C-2E45-8479-368D5D442A12}">
    <text>[S]: Useful when protocols could scale, influence clinical workflows, or shape policies or downstream care delivery.</text>
  </threadedComment>
  <threadedComment ref="G4" dT="2025-08-06T16:40:14.79" personId="{C3AECF38-7B8F-8A42-BB12-9753221002FF}" id="{417AAE72-2810-354E-ABE4-D32703FC8242}">
    <text>The risk is caused by some other reason or is ambiguous</text>
  </threadedComment>
  <threadedComment ref="H4" dT="2025-08-06T16:43:27.04" personId="{C3AECF38-7B8F-8A42-BB12-9753221002FF}" id="{0811AD17-5188-7743-9779-E5B4DEE856EE}">
    <text>The risk is presented as occurring without clearly specifying the intentionality</text>
  </threadedComment>
  <threadedComment ref="I4" dT="2025-08-06T16:46:43.38" personId="{C3AECF38-7B8F-8A42-BB12-9753221002FF}" id="{3F3938B6-6DB2-E74B-A42C-1A06DA8DC65F}">
    <text>The risk is presented without a clearly specified time of occurrence</text>
  </threadedComment>
  <threadedComment ref="J4" dT="2025-08-08T16:40:08.36" personId="{C3AECF38-7B8F-8A42-BB12-9753221002FF}" id="{4AC5722A-15F6-4042-8402-FA6E57230437}">
    <text>Accuracy and effectiveness of the tool's output (decisions and actions) is dependent on group membership, where decisions in AI system design and biased training data lead to unequal outcomes, reduced benefits, increased effort, and alienation of users.</text>
  </threadedComment>
  <threadedComment ref="A5" dT="2025-08-09T21:43:58.75" personId="{C3AECF38-7B8F-8A42-BB12-9753221002FF}" id="{6C91EB7F-457F-3146-B1AA-244C7F5E948F}">
    <text>What it does: Sorts things into labeled categories.
Example: An algorithm that looks at a photo of a skin lesion and decides if it’s “benign” or “suspicious.”</text>
  </threadedComment>
  <threadedComment ref="C5" dT="2025-08-06T16:50:44.50" personId="{C3AECF38-7B8F-8A42-BB12-9753221002FF}" id="{2962D6D4-F417-0040-B9A3-EE3052DC5E39}">
    <text>Using AI systems to conduct large-scale disinformation campaigns, malicious surveillance, or targeted and sophisticated automated censorship and propaganda, with the aim of manipulating political processes, public opinion, and behavior.
Using AI systems to develop cyber weapons (e.g., by coding cheaper, more effective malware), develop new or enhance existing weapons (e.g., Lethal Autonomous Weapons or chemical, biological, radiological, nuclear, and high-yield explosives), or use weapons to cause mass harm.
Using AI systems to gain a personal advantage over others through cheating, fraud, scams, blackmail, or targeted manipulation of beliefs or behavior. Examples include AI-facilitated plagiarism for research or education, impersonating a trusted or fake individual for illegitimate financial benefit, or creating humiliating or sexual imagery.</text>
  </threadedComment>
  <threadedComment ref="J5" dT="2025-08-08T16:40:20.29" personId="{C3AECF38-7B8F-8A42-BB12-9753221002FF}" id="{A7CF6418-08D7-9E43-A1AD-2CD633D20158}">
    <text>Tools/AI systems that memorize and leak sensitive personal data or infer private information about individuals without their consent. Unexpected or unauthorized sharing of data and information can compromise user expectation of privacy, assist identity theft, or result in a loss of confidential intellectual property.</text>
  </threadedComment>
  <threadedComment ref="A6" dT="2025-08-09T21:44:18.43" personId="{C3AECF38-7B8F-8A42-BB12-9753221002FF}" id="{590B5366-FFD1-E245-80E6-2918C5218B4B}">
    <text>What it does: Suggests things to people based on their behavior or preferences.
Example: In education, an AI tutor suggests which math problems a student should try next.
Example (criminal justice): Suggesting rehabilitation programs for a parolee based on history and success rates.</text>
  </threadedComment>
  <threadedComment ref="C6" dT="2025-08-06T16:50:59.22" personId="{C3AECF38-7B8F-8A42-BB12-9753221002FF}" id="{472060A3-A223-3342-B65E-775E09834819}">
    <text>Anthropomorphizing, trusting, or relying on AI systems by users, leading to emotional or material dependence and to inappropriate relationships with or expectations of AI systems. Trust can be exploited by malicious actors (e.g., to harvest information or enable manipulation), or result in harm from inappropriate use of AI in critical situations (such as a medical emergency). Overreliance on AI systems can compromise autonomy and weaken social ties.
Delegating by humans of key decisions to AI systems, or AI systems that make decisions that diminish human control and autonomy. Both can potentially lead to humans feeling disempowered, losing the ability to shape a fulfilling life trajectory, or becoming cognitively enfeebled.</text>
  </threadedComment>
  <threadedComment ref="J6" dT="2025-08-08T16:40:35.76" personId="{C3AECF38-7B8F-8A42-BB12-9753221002FF}" id="{5237F865-5839-D349-B129-4E21C10DE21B}">
    <text>Vulnerabilities in these tools/AI systems, software development toolchains, and hardware can be exploited, resulting in unauthorized access, data and privacy breaches, or system manipulation causing unsafe outputs or behavior.</text>
  </threadedComment>
  <threadedComment ref="A7" dT="2025-08-09T21:45:31.68" personId="{C3AECF38-7B8F-8A42-BB12-9753221002FF}" id="{F6CE7A3B-53F4-FA49-9148-DDE3656CBBDE}">
    <text>What it does: Learns from examples where the “right answer” is already known.
Example: Training an algorithm to recognize pneumonia in chest X-rays using labeled images.</text>
  </threadedComment>
  <threadedComment ref="C7" dT="2025-08-06T16:51:54.62" personId="{C3AECF38-7B8F-8A42-BB12-9753221002FF}" id="{AE171246-2745-B042-8760-C3FEC15A8E34}">
    <text>AI-driven concentration of power and resources within certain entities or groups, especially those with access to or ownership of powerful AI systems, leading to inequitable distribution of benefits and increased societal inequality.
Social and economic inequalities caused by widespread use of AI, such as by automating jobs, reducing the quality of employment, or producing exploitative dependencies between workers and their employers.
AI systems capable of creating economic or cultural value through reproduction of human innovation or creativity (e.g., art, music, writing, coding, invention), destabilizing economic and social systems that rely on human effort. The ubiquity of AI-generated content may lead to reduced appreciation for human skills, disruption of creative and knowledge-based industries, and homogenization of cultural experiences.
Competition by AI developers or state-like actors in an AI “race” by rapidly developing, deploying, and applying AI systems to maximize strategic or economic advantage, increasing the risk they release unsafe and error-prone systems.
Inadequate regulatory frameworks and oversight mechanisms that fail to keep pace with AI development, leading to ineffective governance and the inability to manage AI risks appropriately.
The development and operation of AI systems that cause environmental harm through energy consumption of data centers or the materials and carbon footprints associated with AI hardware.</text>
  </threadedComment>
  <threadedComment ref="J7" dT="2025-08-08T16:40:51.27" personId="{C3AECF38-7B8F-8A42-BB12-9753221002FF}" id="{B3D0B3FD-7DD5-A44D-89C5-75947BBCE138}">
    <text>AI systems/tools that inadvertently generate or spread incorrect or deceptive information, which can lead to inaccurate beliefs in users and undermine their autonomy. Humans that make decisions based on false beliefs can experience physical, emotional or material harms</text>
  </threadedComment>
  <threadedComment ref="A8" dT="2025-08-09T21:44:56.28" personId="{C3AECF38-7B8F-8A42-BB12-9753221002FF}" id="{58D45DF7-E767-1649-AD1E-3865B7638F11}">
    <text>What it does: Understands and analyzes images or video.
Example: Detecting diabetic retinopathy from a retina scan.
Example (policing): Identifying cars from traffic camera footage.</text>
  </threadedComment>
  <threadedComment ref="C8" dT="2025-08-06T16:52:15.69" personId="{C3AECF38-7B8F-8A42-BB12-9753221002FF}" id="{6230E2D1-C9D8-DD4E-8F23-D9793CFCC569}">
    <text xml:space="preserve">AI systems that act in conflict with ethical standards or human goals or values, especially the goals of designers or users. These misaligned behaviors may be introduced by humans during design and development, such as through reward hacking and goal misgeneralisation, and may result in AI using dangerous capabilities such as manipulation, deception, or situational awareness to seek power, self-proliferate, or achieve other goals.
AI systems that develop, access, or are provided with capabilities that increase their potential to cause mass harm through deception, weapons development and acquisition, persuasion and manipulation, political strategy, cyber-offense, AI development, situational awareness, and self-proliferation. These capabilities may cause mass harm due to malicious human actors, misaligned AI systems, or failure in the AI system.
AI systems that fail to perform reliably or effectively under varying conditions, exposing them to errors and failures that can have significant consequences, especially in critical applications or areas that require moral reasoning.
Challenges in understanding or explaining the decision-making processes of AI systems, which can lead to mistrust, difficulty in enforcing compliance standards or holding relevant actors accountable for harms, and the inability to identify and correct errors.
Ethical considerations regarding the treatment of potentially sentient AI entities, including discussions around their potential rights and welfare, particularly as AI systems become more advanced and autonomous.
Risks from multi-agent interactions, due to incentives (which can lead to conflict or collusion) and/or the structure of multi-agent systems, which can create cascading failures, selection pressures, new security vulnerabilities, and a lack of shared information and trust.  </text>
  </threadedComment>
  <threadedComment ref="J8" dT="2025-08-08T16:41:08.75" personId="{C3AECF38-7B8F-8A42-BB12-9753221002FF}" id="{3C8D8A4F-B2FB-A743-A5C1-5A9B33C87B71}">
    <text>Personalized AI-generated misinformation can create “filter bubbles” where individuals only see what matches their existing beliefs, undermining shared reality, weakening social cohesion and political processes.</text>
  </threadedComment>
  <threadedComment ref="A9" dT="2025-08-09T21:45:46.28" personId="{C3AECF38-7B8F-8A42-BB12-9753221002FF}" id="{861A181C-CE02-D940-AF06-50F2719752C5}">
    <text>What it does: Finds patterns in data without being told the “right answer.”
Example: Grouping mental health patients into clusters based on similar symptom patterns.</text>
  </threadedComment>
  <threadedComment ref="J9" dT="2025-08-08T16:41:19.91" personId="{C3AECF38-7B8F-8A42-BB12-9753221002FF}" id="{2FD9271C-F7F0-AE4C-874C-0E75300627EB}">
    <text>Using these tools to conduct large-scale disinformation campaigns, malicious surveillance, or targeted and sophisticated automated censorship and propaganda, with the aim to manipulate political processes, public opinion or behavior.</text>
  </threadedComment>
  <threadedComment ref="A10" dT="2025-08-09T21:45:11.03" personId="{C3AECF38-7B8F-8A42-BB12-9753221002FF}" id="{5B1B85C7-FE7F-C847-BB7C-5A43284316C2}">
    <text>What it does: Recognizes, interprets, or generates spoken language or sounds.
Example: A voice system that transcribes doctor-patient conversations into medical notes.
Example (emergency response): Detecting signs of distress in a 911 call.</text>
  </threadedComment>
  <threadedComment ref="J10" dT="2025-08-08T16:41:30.08" personId="{C3AECF38-7B8F-8A42-BB12-9753221002FF}" id="{FA083563-2147-0444-A778-1F06C520352B}">
    <text>People can use these tools/AI systems to develop cyber weapons (e.g., coding cheaper, more effective malware), develop new or enhance existing weapons (e.g., Lethal Autonomous Weapons), or use weapons to cause mass harm.</text>
  </threadedComment>
  <threadedComment ref="A11" dT="2025-08-09T21:45:20.87" personId="{C3AECF38-7B8F-8A42-BB12-9753221002FF}" id="{5EC46FD9-DEEA-0548-ADF6-1F2186DA302C}">
    <text>What it does: Learns to make decisions by trying things out and getting “reward” or “penalty” feedback.
Example: An AI that learns how to schedule hospital operating rooms to reduce wait times.
Example (military): A drone navigation system that learns how to avoid detection.</text>
  </threadedComment>
  <threadedComment ref="J11" dT="2025-08-08T16:41:43.14" personId="{C3AECF38-7B8F-8A42-BB12-9753221002FF}" id="{F52433F0-AE39-674B-B33B-C2FD40F369B6}">
    <text>People can use these tools/AI systems to gain a personal advantage over others such as through cheating, fraud, scams, blackmail or targeted manipulation of beliefs or behavior. Example: AI-facilitated plagiarism for research or education, impersonating a trusted or fake individual for illegitimate financial benefit, or creating humiliating or sexual imagery.</text>
  </threadedComment>
  <threadedComment ref="A12" dT="2025-08-09T21:45:55.21" personId="{C3AECF38-7B8F-8A42-BB12-9753221002FF}" id="{76FE20D7-D5E4-014F-8C1A-7A673F09423A}">
    <text>What it does: Learns from a mix of labeled and unlabeled data.
Example: A reading comprehension AI that improves using a small set of teacher-graded essays plus thousands of ungraded ones.</text>
  </threadedComment>
  <threadedComment ref="J12" dT="2025-08-08T16:42:01.45" personId="{C3AECF38-7B8F-8A42-BB12-9753221002FF}" id="{221983EC-0C8F-7E43-A08D-7AC97890DEDC}">
    <text>This happens when users anthropomorphize the tool (trusting, or relying on it; leading to emotional or material dependence and inappropriate relationships with or expectations of these tools). Trust can be exploited by malicious actors (e.g., to harvest personal information or enable manipulation), or result in harm from inappropriate use of AI in critical situations (e.g., medical emergency). Overreliance on AI systems can compromise autonomy and weaken social ties.</text>
  </threadedComment>
  <threadedComment ref="A13" dT="2025-08-09T21:46:05.51" personId="{C3AECF38-7B8F-8A42-BB12-9753221002FF}" id="{0837B177-F87E-8043-96ED-59195B949ED4}">
    <text>What it does: Learns from unlabeled data by creating its own training “questions” and “answers.”
Example: A medical AI that learns relationships between lab values by predicting missing results from other lab results.</text>
  </threadedComment>
  <threadedComment ref="J13" dT="2025-08-08T16:42:18.04" personId="{C3AECF38-7B8F-8A42-BB12-9753221002FF}" id="{BD7066A1-56D1-F04D-B136-154F50D63562}">
    <text>When humans delegate decisions to these tools, or when these tools make decisions that diminish human control and autonomy, it can potentially lead to humans feeling disempowered, losing the ability to shape a fulfilling life trajectory or becoming cognitively enfeebled.</text>
  </threadedComment>
  <threadedComment ref="A14" dT="2025-08-09T21:46:14.49" personId="{C3AECF38-7B8F-8A42-BB12-9753221002FF}" id="{FED4298B-74FB-F943-B0D5-3B097399F8D2}">
    <text>What it does: Works with more than one type of data at the same time (text + images + audio).
Example: An emergency triage AI that combines a patient’s spoken symptoms, text notes, and CT scan results to suggest likely diagnoses.</text>
  </threadedComment>
  <threadedComment ref="J14" dT="2025-08-08T16:42:31.21" personId="{C3AECF38-7B8F-8A42-BB12-9753221002FF}" id="{C36175B9-37D1-1F41-8E0E-AEB0D7D2FEE5}">
    <text>AI-driven concentration of power and resources within certain entities or groups, especially those with access to or ownership of powerful AI systems, can lead to inequitable distribution of benefits and increased societal inequality.</text>
  </threadedComment>
  <threadedComment ref="A15" dT="2025-08-09T21:49:53.63" personId="{C3AECF38-7B8F-8A42-BB12-9753221002FF}" id="{0006BDB7-BEB7-3343-B5C0-578112BFED14}">
    <text>Note: Foundation models can fall under LLMs, multi-modal models, or self-supervised learning, but they are called out separately because the transfer, fine-tuning, and repurposing create unique risks.</text>
  </threadedComment>
  <threadedComment ref="J15" dT="2025-08-08T16:42:46.91" personId="{C3AECF38-7B8F-8A42-BB12-9753221002FF}" id="{B5EDD220-DD2B-A846-857E-7C2E7D00A0AA}">
    <text>Widespread use of these types of tools can increase social and economic inequalities, such as by automating jobs, reducing the quality of employment, or producing exploitative dependencies between workers and their employers.</text>
  </threadedComment>
  <threadedComment ref="J16" dT="2025-08-08T16:42:58.29" personId="{C3AECF38-7B8F-8A42-BB12-9753221002FF}" id="{592D278A-6495-2849-89E6-3290518DB659}">
    <text>Some tools are capable of creating economic or cultural value, including through reproduction of human innovation or creativity (e.g., art, music, writing, code, invention), which can destabilize economic and social systems that rely on human effort. This may lead to reduced appreciation for human skills, disruption of creative and knowledge-based industries, and homogenization of cultural experiences due to the ubiquity of AI-generated content.</text>
  </threadedComment>
  <threadedComment ref="J17" dT="2025-08-08T16:43:18.83" personId="{C3AECF38-7B8F-8A42-BB12-9753221002FF}" id="{9006773F-E323-1A47-9236-C79D9C726431}">
    <text>This happens when AI developers or state-like actors compete in an AI ‘race’ by rapidly developing, deploying, and applying AI systems to maximize strategic or economic advantage, increasing the risk they release unsafe and error-prone systems.</text>
  </threadedComment>
  <threadedComment ref="J18" dT="2025-08-08T16:43:28.86" personId="{C3AECF38-7B8F-8A42-BB12-9753221002FF}" id="{5FBA02C9-AB60-3645-9301-EDD8C128E9C5}">
    <text>This happens when there are inadequate regulatory frameworks and oversight mechanisms failing to keep pace with AI development, leading to ineffective governance and the inability to manage AI risks appropriately.</text>
  </threadedComment>
  <threadedComment ref="J19" dT="2025-08-08T16:43:40.39" personId="{C3AECF38-7B8F-8A42-BB12-9753221002FF}" id="{878D7B1A-451A-894A-91E6-E76747383665}">
    <text>This harm is rarelydiscussed in the research context. This happens when the development and operation of AI systems causes environmental harm, such as through energy consumption of data centers, or material and carbon footprints associated with AI hardware.</text>
  </threadedComment>
  <threadedComment ref="J20" dT="2025-08-08T16:43:55.67" personId="{C3AECF38-7B8F-8A42-BB12-9753221002FF}" id="{0DF82675-BB58-1A4B-A28C-B2FFD41979AC}">
    <text>This happens when these tools/AI systems' actions conflict with the intended goals (i.e.g, human-driven/programmed goals or values, especially the goals of designers or users, or ethical standards). These misaligned behaviors may be introduced by humans during design and development (Phase 1), such as through reward hacking and goal misgeneralization. it can also result from AI using dangerous capabilities such as manipulation, deception, situational awareness to seek power, self-proliferate, or achieve other goals.</text>
  </threadedComment>
  <threadedComment ref="J21" dT="2025-08-08T16:44:05.21" personId="{C3AECF38-7B8F-8A42-BB12-9753221002FF}" id="{C2EDA371-191D-F44C-A94D-51DCB3F9C18E}">
    <text>This can happen when these tools/AI systems develop, access, or are provided with capabilities that increase their potential to cause mass harm through deception, weapons development and acquisition, persuasion and manipulation, political strategy, cyber-offense, AI development, situational awareness, and self-proliferation. These capabilities can cause mass harm due to malicious human actors, misaligned AI systems, or failure in the AI system. Some examples are military use tools and dual use capabilities like brain computer interface tools.</text>
  </threadedComment>
  <threadedComment ref="J22" dT="2025-08-08T16:44:17.00" personId="{C3AECF38-7B8F-8A42-BB12-9753221002FF}" id="{A13BEA4A-551E-F847-BED6-EC986F5CF1F7}">
    <text>This happens when the tool/AI system fails to perform reliably or effectively under varying conditions, exposing them to errors and failures that can have significant consequences, especially in critical applications or areas that require moral reasoning (healthcare, legal sector, etc.). This is also probably one of the most common risks of all tools, which is why the 3-Phase approach is so critical.</text>
  </threadedComment>
  <threadedComment ref="J23" dT="2025-08-08T16:44:26.64" personId="{C3AECF38-7B8F-8A42-BB12-9753221002FF}" id="{7B20242A-F7CD-184E-A78E-677BDE2E6A3E}">
    <text>When there are challenges in understanding or explaining the decision-making processes of AI systems, this can lead to mistrust, difficulty in enforcing compliance standards or holding relevant actors accountable for harms, and the inability to identify and correct errors. One simple example (there are more complicated ones) is prompts for LLMs. When LLMs can be easily manipulated and it is not transparent what is being prompted, there can be manipulated output that fits a certain agenda while not meeting another, such as legal requirements).</text>
  </threadedComment>
  <threadedComment ref="J24" dT="2025-08-08T16:44:36.47" personId="{C3AECF38-7B8F-8A42-BB12-9753221002FF}" id="{FFAB7A11-4C7B-094B-AE9A-A6841EFC71A6}">
    <text>This is probably more rare and not a common consideration as of today (2025). However, there are many who highlight ethical considerations regarding the treatment of potentially sentient AI entities (there is also numerous literature arguing against "sentient AI"). However, the concerns discuss AI systems' potential "rights and welfare", if/when AI systems become more advanced and autonomous.</text>
  </threadedComment>
  <threadedComment ref="J25" dT="2025-08-08T16:44:47.47" personId="{C3AECF38-7B8F-8A42-BB12-9753221002FF}" id="{FC85AF97-2868-0C47-A440-4C0EC4097652}">
    <text>A bit more nuanced. An "agent" is the software or "robot" that can act on its own to achieve a goal. But when we have a multi-agent system, that means we have many agents that can either be working together, interacting but doing different things, or working across different organizations in a shared space. When these multi-agents work together, we see risks of conflicting goals, collusion where agents team up in ways that harm fairness; chain reaction (that cascading failure example where one small problem ripples into the whole system); selection pressure where certain agents attempt to survive and become more aggressive or less "ethical". There are security holes where one AI may try to trick the other into revealing private data, for example; and lack of trust and missing information (when agents don't share accurate information).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5-08-09T22:34:34.53" personId="{C3AECF38-7B8F-8A42-BB12-9753221002FF}" id="{EF202316-8412-C249-938D-6156DDD9CFAB}">
    <text>NOTE: There may be some that fall under multiple model types. I couldn't figure out how to fix the code to allow for multiple selections on CheatSheet Column A. Help?</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calendly.com/etohtamiko" TargetMode="External"/><Relationship Id="rId2" Type="http://schemas.openxmlformats.org/officeDocument/2006/relationships/hyperlink" Target="mailto:TechInHSR@gmail.com" TargetMode="External"/><Relationship Id="rId1" Type="http://schemas.openxmlformats.org/officeDocument/2006/relationships/hyperlink" Target="mailto:TechInHSR@gmail.com" TargetMode="External"/><Relationship Id="rId5" Type="http://schemas.openxmlformats.org/officeDocument/2006/relationships/drawing" Target="../drawings/drawing2.xml"/><Relationship Id="rId4" Type="http://schemas.openxmlformats.org/officeDocument/2006/relationships/hyperlink" Target="https://forms.gle/2ij9ic3N8ePN1i799"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airisk.mit.edu/blog/mapping-ai-risk-mitigations" TargetMode="External"/><Relationship Id="rId1" Type="http://schemas.openxmlformats.org/officeDocument/2006/relationships/hyperlink" Target="https://airisk.mit.edu/"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8" Type="http://schemas.openxmlformats.org/officeDocument/2006/relationships/hyperlink" Target="https://digital-strategy.ec.europa.eu/en/policies/contents-code-gpai" TargetMode="External"/><Relationship Id="rId3" Type="http://schemas.openxmlformats.org/officeDocument/2006/relationships/hyperlink" Target="https://docs.google.com/document/d/1zwhVJrUl6Ht7N0bWtEohiHknTTFiexkmIHOnHzCpbq4/edit?tab=t.0" TargetMode="External"/><Relationship Id="rId7" Type="http://schemas.openxmlformats.org/officeDocument/2006/relationships/hyperlink" Target="https://readyresearch.github.io/mitigation-taxonomy-draft/" TargetMode="External"/><Relationship Id="rId2" Type="http://schemas.openxmlformats.org/officeDocument/2006/relationships/hyperlink" Target="https://airisk.mit.edu/blog/mapping-ai-risk-mitigations" TargetMode="External"/><Relationship Id="rId1" Type="http://schemas.openxmlformats.org/officeDocument/2006/relationships/hyperlink" Target="https://airisk.mit.edu/" TargetMode="External"/><Relationship Id="rId6" Type="http://schemas.openxmlformats.org/officeDocument/2006/relationships/hyperlink" Target="https://purl.stanford.edu/zj025zw1714" TargetMode="External"/><Relationship Id="rId5" Type="http://schemas.openxmlformats.org/officeDocument/2006/relationships/hyperlink" Target="https://www.kmedhealth.com/wp-content/uploads/2024/03/EN-ISO-14971-2019-Application-of-risk-management.pdf" TargetMode="External"/><Relationship Id="rId4" Type="http://schemas.openxmlformats.org/officeDocument/2006/relationships/hyperlink" Target="https://research.google/blog/data-cascades-in-machine-learning/" TargetMode="External"/><Relationship Id="rId9"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6F986-FB34-D14E-A77B-3A3EE34C5E09}">
  <sheetPr codeName="Sheet6">
    <pageSetUpPr fitToPage="1"/>
  </sheetPr>
  <dimension ref="A1:B19"/>
  <sheetViews>
    <sheetView showGridLines="0" zoomScaleNormal="100" workbookViewId="0">
      <pane ySplit="1" topLeftCell="A2" activePane="bottomLeft" state="frozen"/>
      <selection pane="bottomLeft" sqref="A1:XFD1048576"/>
    </sheetView>
  </sheetViews>
  <sheetFormatPr baseColWidth="10" defaultRowHeight="45" x14ac:dyDescent="0.45"/>
  <cols>
    <col min="1" max="1" width="10.83203125" style="26"/>
    <col min="2" max="2" width="195.5" style="26" customWidth="1"/>
    <col min="3" max="16384" width="10.83203125" style="26"/>
  </cols>
  <sheetData>
    <row r="1" spans="1:2" s="24" customFormat="1" ht="160" customHeight="1" x14ac:dyDescent="0.2">
      <c r="A1" s="22"/>
      <c r="B1" s="23" t="s">
        <v>379</v>
      </c>
    </row>
    <row r="2" spans="1:2" s="24" customFormat="1" ht="110" customHeight="1" x14ac:dyDescent="0.2">
      <c r="A2" s="22"/>
      <c r="B2" s="25" t="s">
        <v>652</v>
      </c>
    </row>
    <row r="3" spans="1:2" s="24" customFormat="1" ht="88" customHeight="1" x14ac:dyDescent="0.2">
      <c r="A3" s="22"/>
      <c r="B3" s="25"/>
    </row>
    <row r="4" spans="1:2" s="24" customFormat="1" ht="79" customHeight="1" x14ac:dyDescent="0.2">
      <c r="A4" s="22"/>
      <c r="B4" s="23" t="s">
        <v>380</v>
      </c>
    </row>
    <row r="5" spans="1:2" s="24" customFormat="1" ht="141" hidden="1" customHeight="1" x14ac:dyDescent="0.2">
      <c r="A5" s="22"/>
      <c r="B5" s="23" t="s">
        <v>381</v>
      </c>
    </row>
    <row r="6" spans="1:2" s="24" customFormat="1" ht="1" hidden="1" customHeight="1" x14ac:dyDescent="0.2">
      <c r="A6" s="22"/>
      <c r="B6" s="23"/>
    </row>
    <row r="7" spans="1:2" s="24" customFormat="1" ht="1" hidden="1" customHeight="1" x14ac:dyDescent="0.2">
      <c r="A7" s="22"/>
      <c r="B7" s="23"/>
    </row>
    <row r="8" spans="1:2" s="24" customFormat="1" ht="121" customHeight="1" x14ac:dyDescent="0.2">
      <c r="A8" s="22"/>
      <c r="B8" s="23" t="s">
        <v>609</v>
      </c>
    </row>
    <row r="9" spans="1:2" s="21" customFormat="1" ht="33" x14ac:dyDescent="0.2">
      <c r="A9" s="20"/>
      <c r="B9" s="27" t="s">
        <v>653</v>
      </c>
    </row>
    <row r="10" spans="1:2" s="21" customFormat="1" ht="33" x14ac:dyDescent="0.2">
      <c r="A10" s="20"/>
      <c r="B10" s="27" t="s">
        <v>654</v>
      </c>
    </row>
    <row r="11" spans="1:2" s="21" customFormat="1" ht="33" x14ac:dyDescent="0.2">
      <c r="A11" s="20"/>
      <c r="B11" s="27" t="s">
        <v>655</v>
      </c>
    </row>
    <row r="12" spans="1:2" s="21" customFormat="1" ht="33" x14ac:dyDescent="0.2">
      <c r="A12" s="20"/>
      <c r="B12" s="27" t="s">
        <v>656</v>
      </c>
    </row>
    <row r="13" spans="1:2" s="21" customFormat="1" ht="33" x14ac:dyDescent="0.2">
      <c r="A13" s="20"/>
      <c r="B13" s="27" t="s">
        <v>657</v>
      </c>
    </row>
    <row r="14" spans="1:2" s="21" customFormat="1" ht="33" x14ac:dyDescent="0.2">
      <c r="A14" s="20"/>
      <c r="B14" s="27" t="s">
        <v>658</v>
      </c>
    </row>
    <row r="15" spans="1:2" s="21" customFormat="1" ht="33" x14ac:dyDescent="0.2">
      <c r="A15" s="20"/>
      <c r="B15" s="27" t="s">
        <v>659</v>
      </c>
    </row>
    <row r="16" spans="1:2" s="21" customFormat="1" ht="33" x14ac:dyDescent="0.2">
      <c r="A16" s="20"/>
      <c r="B16" s="27" t="s">
        <v>660</v>
      </c>
    </row>
    <row r="17" spans="1:2" s="21" customFormat="1" ht="33" x14ac:dyDescent="0.2">
      <c r="A17" s="20"/>
      <c r="B17" s="27" t="s">
        <v>661</v>
      </c>
    </row>
    <row r="18" spans="1:2" s="21" customFormat="1" ht="33" x14ac:dyDescent="0.2">
      <c r="A18" s="20"/>
      <c r="B18" s="27" t="s">
        <v>665</v>
      </c>
    </row>
    <row r="19" spans="1:2" s="24" customFormat="1" x14ac:dyDescent="0.2">
      <c r="A19" s="22"/>
      <c r="B19" s="27" t="s">
        <v>666</v>
      </c>
    </row>
  </sheetData>
  <sheetProtection algorithmName="SHA-512" hashValue="trquruQdrJnu3BUIX14OTC/JUNhEKDJoG02Cz9GbVHEKBIm01sk/yRazE+pDVz2SescALxlg1rG5NvmPPGKT0w==" saltValue="DEHx1pfGkgdcDfiJ0+06Wg==" spinCount="100000" sheet="1" objects="1" scenarios="1"/>
  <hyperlinks>
    <hyperlink ref="B9" location="Instructions!A1" display="1. Instructions for use" xr:uid="{A77CD8FD-0F76-674C-986E-E3D227F286B1}"/>
    <hyperlink ref="B10" location="'About Project'!A1" display="2. About Project " xr:uid="{249E2EE3-BCA2-5243-854C-9179A195114D}"/>
    <hyperlink ref="B11" location="Definitions!A1" display="3. Definitions" xr:uid="{040771DD-04B4-D846-A5AF-CF47CC298796}"/>
    <hyperlink ref="B12" location="'The Tool (1.1)'!A1" display="4. The Tool (AIHSR Risk Reference Tool)" xr:uid="{F4696E8A-EE62-0243-9341-C635AA9C62FB}"/>
    <hyperlink ref="B13" location="DropdownValues!A1" display="5. Dropdown Values" xr:uid="{90D0A966-61E7-CE41-849A-C68D9551B7AF}"/>
    <hyperlink ref="B14" location="'Map Risk-Mitigation-Prompt'!A1" display="6. Mapping the Risk-to-Mitigation-to-Reviewer Prompt" xr:uid="{31A3B566-2B42-D541-8B55-799C61A83719}"/>
    <hyperlink ref="B15" location="Examples!A1" display="7. Examples" xr:uid="{FF90AB41-44DA-6443-AFF6-9BB961CFEF58}"/>
    <hyperlink ref="B16" location="Sources!A1" display="8. Sources" xr:uid="{039732B6-0663-CC41-A984-27CB0B130735}"/>
    <hyperlink ref="B17" location="Lookup!A1" display="9. Lookup Table" xr:uid="{583DB33F-5BBD-4249-98F8-9F0B0949A34F}"/>
    <hyperlink ref="B18" location="'Model Info'!A1" display="10. Model Information" xr:uid="{3074CAF5-A81B-7645-AF17-29380263CAAD}"/>
    <hyperlink ref="B19" location="'Version History'!A1" display="11. Version History" xr:uid="{6114CAF9-BFF5-0B4F-91E9-6522D798BC5E}"/>
  </hyperlinks>
  <pageMargins left="0.7" right="0.7" top="0.75" bottom="0.75" header="0.3" footer="0.3"/>
  <pageSetup scale="78"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7CF67-9357-AB41-AC5C-B1919B3C74D2}">
  <sheetPr codeName="Sheet7">
    <pageSetUpPr fitToPage="1"/>
  </sheetPr>
  <dimension ref="A1:E24"/>
  <sheetViews>
    <sheetView showGridLines="0" tabSelected="1" zoomScale="120" zoomScaleNormal="120" workbookViewId="0">
      <pane ySplit="2" topLeftCell="A3" activePane="bottomLeft" state="frozen"/>
      <selection pane="bottomLeft" activeCell="C3" sqref="C3:C4"/>
    </sheetView>
  </sheetViews>
  <sheetFormatPr baseColWidth="10" defaultRowHeight="16" x14ac:dyDescent="0.2"/>
  <cols>
    <col min="1" max="1" width="16.5" style="3" customWidth="1"/>
    <col min="2" max="2" width="62.33203125" style="1" customWidth="1"/>
    <col min="3" max="3" width="103.1640625" style="3" customWidth="1"/>
    <col min="4" max="4" width="45.33203125" style="1" customWidth="1"/>
    <col min="5" max="16384" width="10.83203125" style="1"/>
  </cols>
  <sheetData>
    <row r="1" spans="1:5" ht="52" customHeight="1" x14ac:dyDescent="0.2">
      <c r="A1" s="46"/>
      <c r="B1" s="62" t="s">
        <v>716</v>
      </c>
      <c r="C1" s="47"/>
      <c r="D1" s="48"/>
    </row>
    <row r="2" spans="1:5" ht="52" customHeight="1" thickBot="1" x14ac:dyDescent="0.25">
      <c r="A2" s="49"/>
      <c r="B2" s="52" t="s">
        <v>382</v>
      </c>
      <c r="C2" s="50" t="s">
        <v>383</v>
      </c>
      <c r="D2" s="51" t="s">
        <v>384</v>
      </c>
    </row>
    <row r="3" spans="1:5" ht="73" customHeight="1" x14ac:dyDescent="0.2">
      <c r="A3" s="52"/>
      <c r="B3" s="63" t="s">
        <v>1035</v>
      </c>
      <c r="C3" s="37" t="s">
        <v>1045</v>
      </c>
      <c r="D3" s="53" t="s">
        <v>803</v>
      </c>
    </row>
    <row r="4" spans="1:5" ht="159" customHeight="1" x14ac:dyDescent="0.35">
      <c r="A4" s="52"/>
      <c r="B4" s="64"/>
      <c r="C4" s="38"/>
      <c r="D4" s="193" t="s">
        <v>663</v>
      </c>
    </row>
    <row r="5" spans="1:5" ht="25" customHeight="1" x14ac:dyDescent="0.2">
      <c r="A5" s="52"/>
      <c r="B5" s="64" t="s">
        <v>1036</v>
      </c>
      <c r="C5" s="38" t="s">
        <v>1037</v>
      </c>
      <c r="D5" s="54"/>
    </row>
    <row r="6" spans="1:5" ht="16" customHeight="1" x14ac:dyDescent="0.2">
      <c r="A6" s="52"/>
      <c r="B6" s="64"/>
      <c r="C6" s="38"/>
      <c r="D6" s="54" t="s">
        <v>662</v>
      </c>
    </row>
    <row r="7" spans="1:5" ht="16" customHeight="1" x14ac:dyDescent="0.2">
      <c r="A7" s="52"/>
      <c r="B7" s="64"/>
      <c r="C7" s="38"/>
      <c r="D7" s="54"/>
    </row>
    <row r="8" spans="1:5" ht="69" customHeight="1" x14ac:dyDescent="0.2">
      <c r="A8" s="52"/>
      <c r="B8" s="64"/>
      <c r="C8" s="38"/>
      <c r="D8" s="61" t="s">
        <v>663</v>
      </c>
    </row>
    <row r="9" spans="1:5" ht="36" customHeight="1" x14ac:dyDescent="0.2">
      <c r="A9" s="52"/>
      <c r="B9" s="65" t="s">
        <v>1038</v>
      </c>
      <c r="C9" s="38" t="s">
        <v>1039</v>
      </c>
      <c r="D9" s="55"/>
    </row>
    <row r="10" spans="1:5" ht="30" customHeight="1" x14ac:dyDescent="0.2">
      <c r="A10" s="52"/>
      <c r="B10" s="65"/>
      <c r="C10" s="38"/>
      <c r="D10" s="55"/>
    </row>
    <row r="11" spans="1:5" ht="35" customHeight="1" x14ac:dyDescent="0.2">
      <c r="A11" s="52"/>
      <c r="B11" s="65"/>
      <c r="C11" s="38"/>
      <c r="D11" s="55"/>
    </row>
    <row r="12" spans="1:5" ht="42" customHeight="1" x14ac:dyDescent="0.2">
      <c r="A12" s="52"/>
      <c r="B12" s="65"/>
      <c r="C12" s="38"/>
      <c r="D12" s="56" t="s">
        <v>805</v>
      </c>
    </row>
    <row r="13" spans="1:5" ht="47" customHeight="1" x14ac:dyDescent="0.2">
      <c r="A13" s="52"/>
      <c r="B13" s="65" t="s">
        <v>1040</v>
      </c>
      <c r="C13" s="38" t="s">
        <v>1041</v>
      </c>
      <c r="D13" s="57" t="s">
        <v>804</v>
      </c>
    </row>
    <row r="14" spans="1:5" ht="16" customHeight="1" x14ac:dyDescent="0.2">
      <c r="A14" s="52"/>
      <c r="B14" s="65"/>
      <c r="C14" s="38"/>
      <c r="D14" s="58"/>
    </row>
    <row r="15" spans="1:5" ht="16" customHeight="1" x14ac:dyDescent="0.2">
      <c r="A15" s="52"/>
      <c r="B15" s="65"/>
      <c r="C15" s="38"/>
      <c r="D15" s="58"/>
    </row>
    <row r="16" spans="1:5" ht="36" customHeight="1" x14ac:dyDescent="0.2">
      <c r="A16" s="52"/>
      <c r="B16" s="65"/>
      <c r="C16" s="38"/>
      <c r="D16" s="58"/>
      <c r="E16" s="15"/>
    </row>
    <row r="17" spans="1:4" ht="60" customHeight="1" x14ac:dyDescent="0.2">
      <c r="A17" s="52"/>
      <c r="B17" s="66" t="s">
        <v>1042</v>
      </c>
      <c r="C17" s="67" t="s">
        <v>1043</v>
      </c>
      <c r="D17" s="58"/>
    </row>
    <row r="18" spans="1:4" ht="16" customHeight="1" x14ac:dyDescent="0.2">
      <c r="A18" s="52"/>
      <c r="B18" s="68"/>
      <c r="C18" s="197"/>
      <c r="D18" s="58"/>
    </row>
    <row r="19" spans="1:4" ht="16" customHeight="1" x14ac:dyDescent="0.2">
      <c r="A19" s="52"/>
      <c r="B19" s="68"/>
      <c r="C19" s="197"/>
      <c r="D19" s="58"/>
    </row>
    <row r="20" spans="1:4" ht="16" customHeight="1" x14ac:dyDescent="0.2">
      <c r="A20" s="52"/>
      <c r="B20" s="68"/>
      <c r="C20" s="197"/>
      <c r="D20" s="58"/>
    </row>
    <row r="21" spans="1:4" ht="16" customHeight="1" x14ac:dyDescent="0.2">
      <c r="A21" s="52"/>
      <c r="B21" s="69"/>
      <c r="C21" s="198"/>
      <c r="D21" s="58"/>
    </row>
    <row r="22" spans="1:4" ht="16" customHeight="1" x14ac:dyDescent="0.2">
      <c r="A22" s="52"/>
      <c r="B22" s="66" t="s">
        <v>806</v>
      </c>
      <c r="C22" s="194" t="s">
        <v>1044</v>
      </c>
      <c r="D22" s="58"/>
    </row>
    <row r="23" spans="1:4" ht="16" customHeight="1" x14ac:dyDescent="0.2">
      <c r="A23" s="52"/>
      <c r="B23" s="68"/>
      <c r="C23" s="195"/>
      <c r="D23" s="58"/>
    </row>
    <row r="24" spans="1:4" ht="16" customHeight="1" thickBot="1" x14ac:dyDescent="0.25">
      <c r="A24" s="59"/>
      <c r="B24" s="70"/>
      <c r="C24" s="196"/>
      <c r="D24" s="60"/>
    </row>
  </sheetData>
  <sheetProtection algorithmName="SHA-512" hashValue="tnOsMYLd8x1niBAZjouLIb41qlQS/xr3xjR7YWndV+cV6rqCL4w60kNy0ubaImLamyacoj3EuCf2idAh1VANOg==" saltValue="u/vzXVzATxFCWaJeJWjc5A==" spinCount="100000" sheet="1" objects="1" scenarios="1"/>
  <mergeCells count="13">
    <mergeCell ref="B3:B4"/>
    <mergeCell ref="B5:B8"/>
    <mergeCell ref="B9:B12"/>
    <mergeCell ref="B13:B16"/>
    <mergeCell ref="B17:B21"/>
    <mergeCell ref="C17:C21"/>
    <mergeCell ref="C22:C24"/>
    <mergeCell ref="B22:B24"/>
    <mergeCell ref="B1:D1"/>
    <mergeCell ref="C3:C4"/>
    <mergeCell ref="C5:C8"/>
    <mergeCell ref="C9:C12"/>
    <mergeCell ref="C13:C16"/>
  </mergeCells>
  <hyperlinks>
    <hyperlink ref="D4" r:id="rId1" xr:uid="{DA563267-9313-0E4F-8D4B-AF8833B3E727}"/>
    <hyperlink ref="D8" r:id="rId2" xr:uid="{864C3E41-D295-BD43-A93A-F44F6574C28A}"/>
    <hyperlink ref="D13" r:id="rId3" xr:uid="{15030BA9-2ADC-9A4F-B9E8-D4A5EEED6E8B}"/>
    <hyperlink ref="C22:C24" r:id="rId4" display="https://forms.gle/2ij9ic3N8ePN1i799" xr:uid="{BB7C17C9-48B8-3641-8BFA-62ADFD62365E}"/>
  </hyperlinks>
  <pageMargins left="0.7" right="0.7" top="0.75" bottom="0.75" header="0.3" footer="0.3"/>
  <pageSetup scale="50" orientation="landscape" horizontalDpi="0" verticalDpi="0"/>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613DC-D9DF-B142-A0AB-75A222A8574C}">
  <dimension ref="A1:B47"/>
  <sheetViews>
    <sheetView showGridLines="0" workbookViewId="0"/>
  </sheetViews>
  <sheetFormatPr baseColWidth="10" defaultRowHeight="28" x14ac:dyDescent="0.3"/>
  <cols>
    <col min="1" max="1" width="19.83203125" style="72" customWidth="1"/>
    <col min="2" max="2" width="216.1640625" style="102" customWidth="1"/>
    <col min="3" max="16384" width="10.83203125" style="1"/>
  </cols>
  <sheetData>
    <row r="1" spans="1:2" s="19" customFormat="1" ht="72" customHeight="1" x14ac:dyDescent="0.3">
      <c r="A1" s="73"/>
      <c r="B1" s="181" t="s">
        <v>1031</v>
      </c>
    </row>
    <row r="2" spans="1:2" ht="42" customHeight="1" x14ac:dyDescent="0.2">
      <c r="A2" s="52"/>
      <c r="B2" s="182" t="s">
        <v>1032</v>
      </c>
    </row>
    <row r="3" spans="1:2" x14ac:dyDescent="0.2">
      <c r="A3" s="52"/>
      <c r="B3" s="182"/>
    </row>
    <row r="4" spans="1:2" ht="29" x14ac:dyDescent="0.2">
      <c r="A4" s="52"/>
      <c r="B4" s="182" t="s">
        <v>1033</v>
      </c>
    </row>
    <row r="5" spans="1:2" x14ac:dyDescent="0.2">
      <c r="A5" s="52"/>
      <c r="B5" s="182"/>
    </row>
    <row r="6" spans="1:2" ht="58" x14ac:dyDescent="0.2">
      <c r="A6" s="52"/>
      <c r="B6" s="183" t="s">
        <v>1034</v>
      </c>
    </row>
    <row r="7" spans="1:2" x14ac:dyDescent="0.2">
      <c r="A7" s="52"/>
      <c r="B7" s="182"/>
    </row>
    <row r="8" spans="1:2" ht="29" x14ac:dyDescent="0.2">
      <c r="A8" s="52"/>
      <c r="B8" s="184" t="s">
        <v>638</v>
      </c>
    </row>
    <row r="9" spans="1:2" ht="348" x14ac:dyDescent="0.2">
      <c r="A9" s="52"/>
      <c r="B9" s="185" t="s">
        <v>664</v>
      </c>
    </row>
    <row r="10" spans="1:2" ht="29" x14ac:dyDescent="0.2">
      <c r="A10" s="52"/>
      <c r="B10" s="184" t="s">
        <v>639</v>
      </c>
    </row>
    <row r="11" spans="1:2" ht="116" x14ac:dyDescent="0.2">
      <c r="A11" s="52"/>
      <c r="B11" s="186" t="s">
        <v>809</v>
      </c>
    </row>
    <row r="12" spans="1:2" ht="58" x14ac:dyDescent="0.2">
      <c r="A12" s="52"/>
      <c r="B12" s="186" t="s">
        <v>829</v>
      </c>
    </row>
    <row r="13" spans="1:2" ht="58" x14ac:dyDescent="0.2">
      <c r="A13" s="52"/>
      <c r="B13" s="186" t="s">
        <v>807</v>
      </c>
    </row>
    <row r="14" spans="1:2" ht="58" x14ac:dyDescent="0.2">
      <c r="A14" s="52"/>
      <c r="B14" s="186" t="s">
        <v>808</v>
      </c>
    </row>
    <row r="15" spans="1:2" x14ac:dyDescent="0.2">
      <c r="A15" s="52"/>
      <c r="B15" s="182"/>
    </row>
    <row r="16" spans="1:2" ht="29" x14ac:dyDescent="0.2">
      <c r="A16" s="52"/>
      <c r="B16" s="184" t="s">
        <v>640</v>
      </c>
    </row>
    <row r="17" spans="1:2" ht="29" x14ac:dyDescent="0.2">
      <c r="A17" s="52"/>
      <c r="B17" s="187" t="s">
        <v>810</v>
      </c>
    </row>
    <row r="18" spans="1:2" ht="29" x14ac:dyDescent="0.2">
      <c r="A18" s="52"/>
      <c r="B18" s="188" t="s">
        <v>823</v>
      </c>
    </row>
    <row r="19" spans="1:2" ht="29" x14ac:dyDescent="0.2">
      <c r="A19" s="52"/>
      <c r="B19" s="188" t="s">
        <v>824</v>
      </c>
    </row>
    <row r="20" spans="1:2" ht="29" x14ac:dyDescent="0.2">
      <c r="A20" s="52"/>
      <c r="B20" s="187" t="s">
        <v>827</v>
      </c>
    </row>
    <row r="21" spans="1:2" ht="29" x14ac:dyDescent="0.2">
      <c r="A21" s="52"/>
      <c r="B21" s="187" t="s">
        <v>825</v>
      </c>
    </row>
    <row r="22" spans="1:2" ht="71" customHeight="1" x14ac:dyDescent="0.2">
      <c r="A22" s="52"/>
      <c r="B22" s="187" t="s">
        <v>811</v>
      </c>
    </row>
    <row r="23" spans="1:2" ht="58" x14ac:dyDescent="0.2">
      <c r="A23" s="52"/>
      <c r="B23" s="187" t="s">
        <v>812</v>
      </c>
    </row>
    <row r="24" spans="1:2" x14ac:dyDescent="0.2">
      <c r="A24" s="52"/>
      <c r="B24" s="182"/>
    </row>
    <row r="25" spans="1:2" ht="203" x14ac:dyDescent="0.2">
      <c r="A25" s="52"/>
      <c r="B25" s="189" t="s">
        <v>646</v>
      </c>
    </row>
    <row r="26" spans="1:2" x14ac:dyDescent="0.2">
      <c r="A26" s="52"/>
      <c r="B26" s="182"/>
    </row>
    <row r="27" spans="1:2" ht="29" x14ac:dyDescent="0.2">
      <c r="A27" s="52"/>
      <c r="B27" s="184" t="s">
        <v>641</v>
      </c>
    </row>
    <row r="28" spans="1:2" ht="29" x14ac:dyDescent="0.2">
      <c r="A28" s="52"/>
      <c r="B28" s="187" t="s">
        <v>822</v>
      </c>
    </row>
    <row r="29" spans="1:2" ht="29" x14ac:dyDescent="0.2">
      <c r="A29" s="52"/>
      <c r="B29" s="187" t="s">
        <v>821</v>
      </c>
    </row>
    <row r="30" spans="1:2" ht="29" x14ac:dyDescent="0.2">
      <c r="A30" s="52"/>
      <c r="B30" s="187" t="s">
        <v>820</v>
      </c>
    </row>
    <row r="31" spans="1:2" ht="29" x14ac:dyDescent="0.2">
      <c r="A31" s="52"/>
      <c r="B31" s="187" t="s">
        <v>819</v>
      </c>
    </row>
    <row r="32" spans="1:2" x14ac:dyDescent="0.2">
      <c r="A32" s="52"/>
      <c r="B32" s="182"/>
    </row>
    <row r="33" spans="1:2" ht="29" x14ac:dyDescent="0.2">
      <c r="A33" s="52"/>
      <c r="B33" s="184" t="s">
        <v>642</v>
      </c>
    </row>
    <row r="34" spans="1:2" ht="29" x14ac:dyDescent="0.2">
      <c r="A34" s="52"/>
      <c r="B34" s="187" t="s">
        <v>813</v>
      </c>
    </row>
    <row r="35" spans="1:2" ht="29" x14ac:dyDescent="0.2">
      <c r="A35" s="52"/>
      <c r="B35" s="187" t="s">
        <v>815</v>
      </c>
    </row>
    <row r="36" spans="1:2" ht="29" x14ac:dyDescent="0.2">
      <c r="A36" s="52"/>
      <c r="B36" s="187" t="s">
        <v>816</v>
      </c>
    </row>
    <row r="37" spans="1:2" ht="29" x14ac:dyDescent="0.2">
      <c r="A37" s="52"/>
      <c r="B37" s="187" t="s">
        <v>817</v>
      </c>
    </row>
    <row r="38" spans="1:2" ht="58" x14ac:dyDescent="0.2">
      <c r="A38" s="52"/>
      <c r="B38" s="187" t="s">
        <v>818</v>
      </c>
    </row>
    <row r="39" spans="1:2" x14ac:dyDescent="0.2">
      <c r="A39" s="52"/>
      <c r="B39" s="182"/>
    </row>
    <row r="40" spans="1:2" ht="85" customHeight="1" x14ac:dyDescent="0.2">
      <c r="A40" s="52"/>
      <c r="B40" s="184" t="s">
        <v>643</v>
      </c>
    </row>
    <row r="41" spans="1:2" ht="83" customHeight="1" x14ac:dyDescent="0.2">
      <c r="A41" s="52"/>
      <c r="B41" s="185" t="s">
        <v>644</v>
      </c>
    </row>
    <row r="42" spans="1:2" ht="29" x14ac:dyDescent="0.3">
      <c r="A42" s="52"/>
      <c r="B42" s="190" t="s">
        <v>826</v>
      </c>
    </row>
    <row r="43" spans="1:2" ht="167" customHeight="1" x14ac:dyDescent="0.2">
      <c r="A43" s="52"/>
      <c r="B43" s="185" t="s">
        <v>828</v>
      </c>
    </row>
    <row r="44" spans="1:2" ht="32" customHeight="1" x14ac:dyDescent="0.2">
      <c r="A44" s="52"/>
      <c r="B44" s="184" t="s">
        <v>645</v>
      </c>
    </row>
    <row r="45" spans="1:2" ht="58" x14ac:dyDescent="0.2">
      <c r="A45" s="52"/>
      <c r="B45" s="182" t="s">
        <v>814</v>
      </c>
    </row>
    <row r="46" spans="1:2" s="71" customFormat="1" ht="38" customHeight="1" x14ac:dyDescent="0.3">
      <c r="A46" s="74"/>
      <c r="B46" s="191" t="s">
        <v>830</v>
      </c>
    </row>
    <row r="47" spans="1:2" ht="75" customHeight="1" thickBot="1" x14ac:dyDescent="0.25">
      <c r="A47" s="59"/>
      <c r="B47" s="192" t="s">
        <v>847</v>
      </c>
    </row>
  </sheetData>
  <sheetProtection algorithmName="SHA-512" hashValue="qXAL9PKDachNRe7a9J2+oL+dMio8MKHppofu3Cks0uNn5F9IAVCdlrxcqhfTIhRkFv7sQYp1jOiHACqcSg6H4w==" saltValue="+lyy/0Svsz/+V9G3ITxZ3g==" spinCount="100000" sheet="1" objects="1" scenarios="1"/>
  <hyperlinks>
    <hyperlink ref="B18" r:id="rId1" display="https://airisk.mit.edu/" xr:uid="{F5DAB18F-5461-D54A-B7C1-9E1DAB5DB149}"/>
    <hyperlink ref="B19" r:id="rId2" display="https://airisk.mit.edu/blog/mapping-ai-risk-mitigations" xr:uid="{B9A0131F-62F3-6A4E-859E-EE54A5089E57}"/>
  </hyperlinks>
  <pageMargins left="1" right="1" top="1" bottom="1" header="0.5" footer="0.5"/>
  <pageSetup orientation="landscape" horizontalDpi="0" verticalDpi="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453B1-AE7C-B940-B24E-CF4511ECE0A2}">
  <sheetPr codeName="Sheet8">
    <pageSetUpPr fitToPage="1"/>
  </sheetPr>
  <dimension ref="A1:F89"/>
  <sheetViews>
    <sheetView showGridLines="0" workbookViewId="0">
      <pane xSplit="2" ySplit="2" topLeftCell="C3" activePane="bottomRight" state="frozen"/>
      <selection pane="topRight" activeCell="B1" sqref="B1"/>
      <selection pane="bottomLeft" activeCell="A4" sqref="A4"/>
      <selection pane="bottomRight" activeCell="C3" sqref="C3"/>
    </sheetView>
  </sheetViews>
  <sheetFormatPr baseColWidth="10" defaultRowHeight="20" x14ac:dyDescent="0.2"/>
  <cols>
    <col min="1" max="1" width="43.33203125" style="5" customWidth="1"/>
    <col min="2" max="2" width="42.83203125" style="4" customWidth="1"/>
    <col min="3" max="3" width="223.33203125" style="4" customWidth="1"/>
    <col min="4" max="16384" width="10.83203125" style="5"/>
  </cols>
  <sheetData>
    <row r="1" spans="1:6" s="1" customFormat="1" ht="48" customHeight="1" x14ac:dyDescent="0.2">
      <c r="A1" s="95" t="s">
        <v>833</v>
      </c>
      <c r="B1" s="84" t="s">
        <v>388</v>
      </c>
      <c r="C1" s="98" t="s">
        <v>834</v>
      </c>
    </row>
    <row r="2" spans="1:6" s="1" customFormat="1" ht="38" customHeight="1" x14ac:dyDescent="0.2">
      <c r="A2" s="96" t="s">
        <v>723</v>
      </c>
      <c r="B2" s="85"/>
      <c r="C2" s="97" t="s">
        <v>389</v>
      </c>
    </row>
    <row r="3" spans="1:6" ht="344" customHeight="1" x14ac:dyDescent="0.2">
      <c r="A3" s="75" t="s">
        <v>831</v>
      </c>
      <c r="B3" s="86" t="s">
        <v>49</v>
      </c>
      <c r="C3" s="28" t="s">
        <v>428</v>
      </c>
    </row>
    <row r="4" spans="1:6" ht="69" customHeight="1" x14ac:dyDescent="0.2">
      <c r="A4" s="75" t="s">
        <v>831</v>
      </c>
      <c r="B4" s="86" t="s">
        <v>30</v>
      </c>
      <c r="C4" s="28" t="s">
        <v>31</v>
      </c>
    </row>
    <row r="5" spans="1:6" ht="112" customHeight="1" x14ac:dyDescent="0.2">
      <c r="A5" s="75" t="s">
        <v>831</v>
      </c>
      <c r="B5" s="86" t="s">
        <v>44</v>
      </c>
      <c r="C5" s="28" t="s">
        <v>422</v>
      </c>
    </row>
    <row r="6" spans="1:6" ht="42" x14ac:dyDescent="0.2">
      <c r="A6" s="75" t="s">
        <v>831</v>
      </c>
      <c r="B6" s="86" t="s">
        <v>393</v>
      </c>
      <c r="C6" s="28" t="s">
        <v>429</v>
      </c>
    </row>
    <row r="7" spans="1:6" ht="42" x14ac:dyDescent="0.2">
      <c r="A7" s="75" t="s">
        <v>831</v>
      </c>
      <c r="B7" s="86" t="s">
        <v>28</v>
      </c>
      <c r="C7" s="28" t="s">
        <v>29</v>
      </c>
    </row>
    <row r="8" spans="1:6" ht="42" x14ac:dyDescent="0.2">
      <c r="A8" s="75" t="s">
        <v>831</v>
      </c>
      <c r="B8" s="86" t="s">
        <v>719</v>
      </c>
      <c r="C8" s="28" t="s">
        <v>720</v>
      </c>
    </row>
    <row r="9" spans="1:6" ht="70" customHeight="1" x14ac:dyDescent="0.2">
      <c r="A9" s="75" t="s">
        <v>831</v>
      </c>
      <c r="B9" s="86" t="s">
        <v>392</v>
      </c>
      <c r="C9" s="28" t="s">
        <v>432</v>
      </c>
    </row>
    <row r="10" spans="1:6" ht="129" customHeight="1" x14ac:dyDescent="0.2">
      <c r="A10" s="75" t="s">
        <v>831</v>
      </c>
      <c r="B10" s="86" t="s">
        <v>48</v>
      </c>
      <c r="C10" s="28" t="s">
        <v>426</v>
      </c>
    </row>
    <row r="11" spans="1:6" ht="80" customHeight="1" x14ac:dyDescent="0.2">
      <c r="A11" s="75" t="s">
        <v>831</v>
      </c>
      <c r="B11" s="86" t="s">
        <v>374</v>
      </c>
      <c r="C11" s="28" t="s">
        <v>375</v>
      </c>
      <c r="D11" s="4"/>
      <c r="E11" s="4"/>
      <c r="F11" s="4"/>
    </row>
    <row r="12" spans="1:6" ht="42" x14ac:dyDescent="0.2">
      <c r="A12" s="75" t="s">
        <v>831</v>
      </c>
      <c r="B12" s="86" t="s">
        <v>390</v>
      </c>
      <c r="C12" s="28" t="s">
        <v>117</v>
      </c>
    </row>
    <row r="13" spans="1:6" ht="42" x14ac:dyDescent="0.2">
      <c r="A13" s="75" t="s">
        <v>831</v>
      </c>
      <c r="B13" s="86" t="s">
        <v>394</v>
      </c>
      <c r="C13" s="28" t="s">
        <v>430</v>
      </c>
    </row>
    <row r="14" spans="1:6" ht="42" x14ac:dyDescent="0.2">
      <c r="A14" s="75" t="s">
        <v>831</v>
      </c>
      <c r="B14" s="86" t="s">
        <v>142</v>
      </c>
      <c r="C14" s="28" t="s">
        <v>402</v>
      </c>
    </row>
    <row r="15" spans="1:6" ht="126" x14ac:dyDescent="0.2">
      <c r="A15" s="75" t="s">
        <v>831</v>
      </c>
      <c r="B15" s="86" t="s">
        <v>47</v>
      </c>
      <c r="C15" s="28" t="s">
        <v>425</v>
      </c>
    </row>
    <row r="16" spans="1:6" ht="90" customHeight="1" x14ac:dyDescent="0.2">
      <c r="A16" s="75" t="s">
        <v>831</v>
      </c>
      <c r="B16" s="86" t="s">
        <v>46</v>
      </c>
      <c r="C16" s="28" t="s">
        <v>424</v>
      </c>
    </row>
    <row r="17" spans="1:3" ht="84" x14ac:dyDescent="0.2">
      <c r="A17" s="75" t="s">
        <v>831</v>
      </c>
      <c r="B17" s="86" t="s">
        <v>45</v>
      </c>
      <c r="C17" s="28" t="s">
        <v>423</v>
      </c>
    </row>
    <row r="18" spans="1:3" ht="42" x14ac:dyDescent="0.2">
      <c r="A18" s="75" t="s">
        <v>831</v>
      </c>
      <c r="B18" s="86" t="s">
        <v>603</v>
      </c>
      <c r="C18" s="28" t="s">
        <v>718</v>
      </c>
    </row>
    <row r="19" spans="1:3" ht="42" x14ac:dyDescent="0.2">
      <c r="A19" s="75" t="s">
        <v>831</v>
      </c>
      <c r="B19" s="86" t="s">
        <v>403</v>
      </c>
      <c r="C19" s="28" t="s">
        <v>404</v>
      </c>
    </row>
    <row r="20" spans="1:3" ht="316" customHeight="1" x14ac:dyDescent="0.2">
      <c r="A20" s="75" t="s">
        <v>831</v>
      </c>
      <c r="B20" s="86" t="s">
        <v>122</v>
      </c>
      <c r="C20" s="28" t="s">
        <v>427</v>
      </c>
    </row>
    <row r="21" spans="1:3" ht="42" x14ac:dyDescent="0.2">
      <c r="A21" s="75" t="s">
        <v>831</v>
      </c>
      <c r="B21" s="86" t="s">
        <v>395</v>
      </c>
      <c r="C21" s="28" t="s">
        <v>431</v>
      </c>
    </row>
    <row r="22" spans="1:3" ht="42" x14ac:dyDescent="0.2">
      <c r="A22" s="75" t="s">
        <v>831</v>
      </c>
      <c r="B22" s="86" t="s">
        <v>391</v>
      </c>
      <c r="C22" s="28" t="s">
        <v>433</v>
      </c>
    </row>
    <row r="23" spans="1:3" ht="88" customHeight="1" x14ac:dyDescent="0.2">
      <c r="A23" s="76" t="s">
        <v>832</v>
      </c>
      <c r="B23" s="87" t="s">
        <v>459</v>
      </c>
      <c r="C23" s="28" t="s">
        <v>509</v>
      </c>
    </row>
    <row r="24" spans="1:3" ht="409" customHeight="1" x14ac:dyDescent="0.2">
      <c r="A24" s="76" t="s">
        <v>832</v>
      </c>
      <c r="B24" s="87" t="s">
        <v>460</v>
      </c>
      <c r="C24" s="2" t="s">
        <v>726</v>
      </c>
    </row>
    <row r="25" spans="1:3" ht="103" customHeight="1" x14ac:dyDescent="0.2">
      <c r="A25" s="76" t="s">
        <v>832</v>
      </c>
      <c r="B25" s="87" t="s">
        <v>461</v>
      </c>
      <c r="C25" s="28" t="s">
        <v>510</v>
      </c>
    </row>
    <row r="26" spans="1:3" ht="42" x14ac:dyDescent="0.2">
      <c r="A26" s="76" t="s">
        <v>832</v>
      </c>
      <c r="B26" s="87" t="s">
        <v>462</v>
      </c>
      <c r="C26" s="28" t="s">
        <v>484</v>
      </c>
    </row>
    <row r="27" spans="1:3" ht="42" x14ac:dyDescent="0.2">
      <c r="A27" s="76" t="s">
        <v>832</v>
      </c>
      <c r="B27" s="87" t="s">
        <v>463</v>
      </c>
      <c r="C27" s="28" t="s">
        <v>485</v>
      </c>
    </row>
    <row r="28" spans="1:3" ht="42" x14ac:dyDescent="0.2">
      <c r="A28" s="76" t="s">
        <v>832</v>
      </c>
      <c r="B28" s="87" t="s">
        <v>464</v>
      </c>
      <c r="C28" s="28" t="s">
        <v>486</v>
      </c>
    </row>
    <row r="29" spans="1:3" ht="126" x14ac:dyDescent="0.2">
      <c r="A29" s="76" t="s">
        <v>832</v>
      </c>
      <c r="B29" s="87" t="s">
        <v>465</v>
      </c>
      <c r="C29" s="28" t="s">
        <v>604</v>
      </c>
    </row>
    <row r="30" spans="1:3" ht="21" x14ac:dyDescent="0.2">
      <c r="A30" s="77" t="s">
        <v>37</v>
      </c>
      <c r="B30" s="88" t="s">
        <v>283</v>
      </c>
      <c r="C30" s="28" t="s">
        <v>411</v>
      </c>
    </row>
    <row r="31" spans="1:3" ht="42" x14ac:dyDescent="0.2">
      <c r="A31" s="77" t="s">
        <v>37</v>
      </c>
      <c r="B31" s="88" t="s">
        <v>287</v>
      </c>
      <c r="C31" s="28" t="s">
        <v>414</v>
      </c>
    </row>
    <row r="32" spans="1:3" ht="42" x14ac:dyDescent="0.2">
      <c r="A32" s="77" t="s">
        <v>37</v>
      </c>
      <c r="B32" s="88" t="s">
        <v>289</v>
      </c>
      <c r="C32" s="28" t="s">
        <v>417</v>
      </c>
    </row>
    <row r="33" spans="1:3" ht="42" x14ac:dyDescent="0.2">
      <c r="A33" s="77" t="s">
        <v>37</v>
      </c>
      <c r="B33" s="88" t="s">
        <v>284</v>
      </c>
      <c r="C33" s="28" t="s">
        <v>412</v>
      </c>
    </row>
    <row r="34" spans="1:3" ht="42" x14ac:dyDescent="0.2">
      <c r="A34" s="77" t="s">
        <v>37</v>
      </c>
      <c r="B34" s="88" t="s">
        <v>293</v>
      </c>
      <c r="C34" s="28" t="s">
        <v>419</v>
      </c>
    </row>
    <row r="35" spans="1:3" ht="42" x14ac:dyDescent="0.2">
      <c r="A35" s="77" t="s">
        <v>37</v>
      </c>
      <c r="B35" s="88" t="s">
        <v>292</v>
      </c>
      <c r="C35" s="28" t="s">
        <v>418</v>
      </c>
    </row>
    <row r="36" spans="1:3" ht="42" x14ac:dyDescent="0.2">
      <c r="A36" s="77" t="s">
        <v>37</v>
      </c>
      <c r="B36" s="88" t="s">
        <v>288</v>
      </c>
      <c r="C36" s="28" t="s">
        <v>416</v>
      </c>
    </row>
    <row r="37" spans="1:3" ht="21" x14ac:dyDescent="0.2">
      <c r="A37" s="77" t="s">
        <v>37</v>
      </c>
      <c r="B37" s="88" t="s">
        <v>291</v>
      </c>
      <c r="C37" s="28" t="s">
        <v>415</v>
      </c>
    </row>
    <row r="38" spans="1:3" ht="21" x14ac:dyDescent="0.2">
      <c r="A38" s="77" t="s">
        <v>37</v>
      </c>
      <c r="B38" s="88" t="s">
        <v>290</v>
      </c>
      <c r="C38" s="28" t="s">
        <v>413</v>
      </c>
    </row>
    <row r="39" spans="1:3" ht="42" x14ac:dyDescent="0.2">
      <c r="A39" s="77" t="s">
        <v>37</v>
      </c>
      <c r="B39" s="88" t="s">
        <v>294</v>
      </c>
      <c r="C39" s="28" t="s">
        <v>420</v>
      </c>
    </row>
    <row r="40" spans="1:3" ht="42" x14ac:dyDescent="0.2">
      <c r="A40" s="77" t="s">
        <v>37</v>
      </c>
      <c r="B40" s="88" t="s">
        <v>295</v>
      </c>
      <c r="C40" s="28" t="s">
        <v>421</v>
      </c>
    </row>
    <row r="41" spans="1:3" ht="42" x14ac:dyDescent="0.2">
      <c r="A41" s="77" t="s">
        <v>37</v>
      </c>
      <c r="B41" s="88" t="s">
        <v>286</v>
      </c>
      <c r="C41" s="28" t="s">
        <v>410</v>
      </c>
    </row>
    <row r="42" spans="1:3" ht="42" x14ac:dyDescent="0.2">
      <c r="A42" s="77" t="s">
        <v>37</v>
      </c>
      <c r="B42" s="88" t="s">
        <v>282</v>
      </c>
      <c r="C42" s="28" t="s">
        <v>408</v>
      </c>
    </row>
    <row r="43" spans="1:3" ht="42" x14ac:dyDescent="0.2">
      <c r="A43" s="77" t="s">
        <v>37</v>
      </c>
      <c r="B43" s="88" t="s">
        <v>285</v>
      </c>
      <c r="C43" s="28" t="s">
        <v>409</v>
      </c>
    </row>
    <row r="44" spans="1:3" ht="84" x14ac:dyDescent="0.2">
      <c r="A44" s="78" t="s">
        <v>482</v>
      </c>
      <c r="B44" s="89" t="s">
        <v>470</v>
      </c>
      <c r="C44" s="28" t="s">
        <v>512</v>
      </c>
    </row>
    <row r="45" spans="1:3" ht="84" x14ac:dyDescent="0.2">
      <c r="A45" s="78" t="s">
        <v>482</v>
      </c>
      <c r="B45" s="89" t="s">
        <v>471</v>
      </c>
      <c r="C45" s="28" t="s">
        <v>513</v>
      </c>
    </row>
    <row r="46" spans="1:3" ht="42" x14ac:dyDescent="0.2">
      <c r="A46" s="78" t="s">
        <v>482</v>
      </c>
      <c r="B46" s="89" t="s">
        <v>472</v>
      </c>
      <c r="C46" s="28" t="s">
        <v>488</v>
      </c>
    </row>
    <row r="47" spans="1:3" ht="126" x14ac:dyDescent="0.2">
      <c r="A47" s="78" t="s">
        <v>482</v>
      </c>
      <c r="B47" s="89" t="s">
        <v>473</v>
      </c>
      <c r="C47" s="28" t="s">
        <v>607</v>
      </c>
    </row>
    <row r="48" spans="1:3" ht="84" x14ac:dyDescent="0.2">
      <c r="A48" s="78" t="s">
        <v>482</v>
      </c>
      <c r="B48" s="89" t="s">
        <v>474</v>
      </c>
      <c r="C48" s="28" t="s">
        <v>514</v>
      </c>
    </row>
    <row r="49" spans="1:3" ht="42" x14ac:dyDescent="0.2">
      <c r="A49" s="78" t="s">
        <v>482</v>
      </c>
      <c r="B49" s="89" t="s">
        <v>475</v>
      </c>
      <c r="C49" s="28" t="s">
        <v>489</v>
      </c>
    </row>
    <row r="50" spans="1:3" ht="126" x14ac:dyDescent="0.2">
      <c r="A50" s="79" t="s">
        <v>725</v>
      </c>
      <c r="B50" s="90" t="s">
        <v>224</v>
      </c>
      <c r="C50" s="28" t="s">
        <v>434</v>
      </c>
    </row>
    <row r="51" spans="1:3" ht="126" x14ac:dyDescent="0.2">
      <c r="A51" s="79" t="s">
        <v>725</v>
      </c>
      <c r="B51" s="90" t="s">
        <v>225</v>
      </c>
      <c r="C51" s="28" t="s">
        <v>435</v>
      </c>
    </row>
    <row r="52" spans="1:3" ht="105" x14ac:dyDescent="0.2">
      <c r="A52" s="79" t="s">
        <v>725</v>
      </c>
      <c r="B52" s="90" t="s">
        <v>226</v>
      </c>
      <c r="C52" s="28" t="s">
        <v>436</v>
      </c>
    </row>
    <row r="53" spans="1:3" ht="21" x14ac:dyDescent="0.2">
      <c r="A53" s="80" t="s">
        <v>7</v>
      </c>
      <c r="B53" s="91" t="s">
        <v>396</v>
      </c>
      <c r="C53" s="28" t="s">
        <v>399</v>
      </c>
    </row>
    <row r="54" spans="1:3" ht="21" x14ac:dyDescent="0.2">
      <c r="A54" s="80" t="s">
        <v>7</v>
      </c>
      <c r="B54" s="91" t="s">
        <v>397</v>
      </c>
      <c r="C54" s="28" t="s">
        <v>400</v>
      </c>
    </row>
    <row r="55" spans="1:3" ht="21" x14ac:dyDescent="0.2">
      <c r="A55" s="80" t="s">
        <v>7</v>
      </c>
      <c r="B55" s="91" t="s">
        <v>398</v>
      </c>
      <c r="C55" s="28" t="s">
        <v>401</v>
      </c>
    </row>
    <row r="56" spans="1:3" ht="105" x14ac:dyDescent="0.2">
      <c r="A56" s="81" t="s">
        <v>724</v>
      </c>
      <c r="B56" s="92" t="s">
        <v>437</v>
      </c>
      <c r="C56" s="28" t="s">
        <v>530</v>
      </c>
    </row>
    <row r="57" spans="1:3" ht="105" x14ac:dyDescent="0.2">
      <c r="A57" s="81" t="s">
        <v>724</v>
      </c>
      <c r="B57" s="92" t="s">
        <v>123</v>
      </c>
      <c r="C57" s="28" t="s">
        <v>529</v>
      </c>
    </row>
    <row r="58" spans="1:3" ht="84" x14ac:dyDescent="0.2">
      <c r="A58" s="81" t="s">
        <v>724</v>
      </c>
      <c r="B58" s="92" t="s">
        <v>438</v>
      </c>
      <c r="C58" s="28" t="s">
        <v>528</v>
      </c>
    </row>
    <row r="59" spans="1:3" ht="84" x14ac:dyDescent="0.2">
      <c r="A59" s="81" t="s">
        <v>724</v>
      </c>
      <c r="B59" s="92" t="s">
        <v>439</v>
      </c>
      <c r="C59" s="28" t="s">
        <v>527</v>
      </c>
    </row>
    <row r="60" spans="1:3" ht="84" x14ac:dyDescent="0.2">
      <c r="A60" s="81" t="s">
        <v>724</v>
      </c>
      <c r="B60" s="92" t="s">
        <v>124</v>
      </c>
      <c r="C60" s="28" t="s">
        <v>526</v>
      </c>
    </row>
    <row r="61" spans="1:3" ht="84" x14ac:dyDescent="0.2">
      <c r="A61" s="81" t="s">
        <v>724</v>
      </c>
      <c r="B61" s="92" t="s">
        <v>440</v>
      </c>
      <c r="C61" s="28" t="s">
        <v>525</v>
      </c>
    </row>
    <row r="62" spans="1:3" ht="84" x14ac:dyDescent="0.2">
      <c r="A62" s="81" t="s">
        <v>724</v>
      </c>
      <c r="B62" s="92" t="s">
        <v>441</v>
      </c>
      <c r="C62" s="28" t="s">
        <v>524</v>
      </c>
    </row>
    <row r="63" spans="1:3" ht="84" x14ac:dyDescent="0.2">
      <c r="A63" s="81" t="s">
        <v>724</v>
      </c>
      <c r="B63" s="92" t="s">
        <v>125</v>
      </c>
      <c r="C63" s="28" t="s">
        <v>523</v>
      </c>
    </row>
    <row r="64" spans="1:3" ht="63" x14ac:dyDescent="0.2">
      <c r="A64" s="81" t="s">
        <v>724</v>
      </c>
      <c r="B64" s="92" t="s">
        <v>126</v>
      </c>
      <c r="C64" s="28" t="s">
        <v>450</v>
      </c>
    </row>
    <row r="65" spans="1:3" ht="84" x14ac:dyDescent="0.2">
      <c r="A65" s="81" t="s">
        <v>724</v>
      </c>
      <c r="B65" s="92" t="s">
        <v>442</v>
      </c>
      <c r="C65" s="28" t="s">
        <v>522</v>
      </c>
    </row>
    <row r="66" spans="1:3" ht="105" x14ac:dyDescent="0.2">
      <c r="A66" s="81" t="s">
        <v>724</v>
      </c>
      <c r="B66" s="92" t="s">
        <v>127</v>
      </c>
      <c r="C66" s="28" t="s">
        <v>521</v>
      </c>
    </row>
    <row r="67" spans="1:3" ht="84" x14ac:dyDescent="0.2">
      <c r="A67" s="81" t="s">
        <v>724</v>
      </c>
      <c r="B67" s="92" t="s">
        <v>443</v>
      </c>
      <c r="C67" s="28" t="s">
        <v>520</v>
      </c>
    </row>
    <row r="68" spans="1:3" ht="84" x14ac:dyDescent="0.2">
      <c r="A68" s="81" t="s">
        <v>724</v>
      </c>
      <c r="B68" s="92" t="s">
        <v>128</v>
      </c>
      <c r="C68" s="28" t="s">
        <v>519</v>
      </c>
    </row>
    <row r="69" spans="1:3" ht="42" x14ac:dyDescent="0.2">
      <c r="A69" s="81" t="s">
        <v>724</v>
      </c>
      <c r="B69" s="92" t="s">
        <v>129</v>
      </c>
      <c r="C69" s="28" t="s">
        <v>451</v>
      </c>
    </row>
    <row r="70" spans="1:3" ht="63" x14ac:dyDescent="0.2">
      <c r="A70" s="81" t="s">
        <v>724</v>
      </c>
      <c r="B70" s="92" t="s">
        <v>130</v>
      </c>
      <c r="C70" s="28" t="s">
        <v>452</v>
      </c>
    </row>
    <row r="71" spans="1:3" ht="42" x14ac:dyDescent="0.2">
      <c r="A71" s="81" t="s">
        <v>724</v>
      </c>
      <c r="B71" s="92" t="s">
        <v>444</v>
      </c>
      <c r="C71" s="28" t="s">
        <v>453</v>
      </c>
    </row>
    <row r="72" spans="1:3" ht="42" x14ac:dyDescent="0.2">
      <c r="A72" s="81" t="s">
        <v>724</v>
      </c>
      <c r="B72" s="92" t="s">
        <v>445</v>
      </c>
      <c r="C72" s="28" t="s">
        <v>454</v>
      </c>
    </row>
    <row r="73" spans="1:3" ht="84" x14ac:dyDescent="0.2">
      <c r="A73" s="81" t="s">
        <v>724</v>
      </c>
      <c r="B73" s="92" t="s">
        <v>446</v>
      </c>
      <c r="C73" s="28" t="s">
        <v>518</v>
      </c>
    </row>
    <row r="74" spans="1:3" ht="63" x14ac:dyDescent="0.2">
      <c r="A74" s="81" t="s">
        <v>724</v>
      </c>
      <c r="B74" s="92" t="s">
        <v>447</v>
      </c>
      <c r="C74" s="28" t="s">
        <v>455</v>
      </c>
    </row>
    <row r="75" spans="1:3" ht="84" x14ac:dyDescent="0.2">
      <c r="A75" s="81" t="s">
        <v>724</v>
      </c>
      <c r="B75" s="92" t="s">
        <v>131</v>
      </c>
      <c r="C75" s="28" t="s">
        <v>456</v>
      </c>
    </row>
    <row r="76" spans="1:3" ht="63" x14ac:dyDescent="0.2">
      <c r="A76" s="81" t="s">
        <v>724</v>
      </c>
      <c r="B76" s="92" t="s">
        <v>448</v>
      </c>
      <c r="C76" s="28" t="s">
        <v>457</v>
      </c>
    </row>
    <row r="77" spans="1:3" ht="126" x14ac:dyDescent="0.2">
      <c r="A77" s="81" t="s">
        <v>724</v>
      </c>
      <c r="B77" s="92" t="s">
        <v>132</v>
      </c>
      <c r="C77" s="28" t="s">
        <v>517</v>
      </c>
    </row>
    <row r="78" spans="1:3" ht="63" x14ac:dyDescent="0.2">
      <c r="A78" s="81" t="s">
        <v>724</v>
      </c>
      <c r="B78" s="92" t="s">
        <v>133</v>
      </c>
      <c r="C78" s="28" t="s">
        <v>458</v>
      </c>
    </row>
    <row r="79" spans="1:3" ht="147" x14ac:dyDescent="0.2">
      <c r="A79" s="81" t="s">
        <v>724</v>
      </c>
      <c r="B79" s="92" t="s">
        <v>449</v>
      </c>
      <c r="C79" s="28" t="s">
        <v>516</v>
      </c>
    </row>
    <row r="80" spans="1:3" ht="168" x14ac:dyDescent="0.2">
      <c r="A80" s="82" t="s">
        <v>481</v>
      </c>
      <c r="B80" s="93" t="s">
        <v>466</v>
      </c>
      <c r="C80" s="28" t="s">
        <v>605</v>
      </c>
    </row>
    <row r="81" spans="1:3" ht="42" x14ac:dyDescent="0.2">
      <c r="A81" s="82" t="s">
        <v>481</v>
      </c>
      <c r="B81" s="93" t="s">
        <v>467</v>
      </c>
      <c r="C81" s="28" t="s">
        <v>487</v>
      </c>
    </row>
    <row r="82" spans="1:3" ht="147" x14ac:dyDescent="0.2">
      <c r="A82" s="82" t="s">
        <v>481</v>
      </c>
      <c r="B82" s="93" t="s">
        <v>468</v>
      </c>
      <c r="C82" s="28" t="s">
        <v>606</v>
      </c>
    </row>
    <row r="83" spans="1:3" ht="84" x14ac:dyDescent="0.2">
      <c r="A83" s="82" t="s">
        <v>481</v>
      </c>
      <c r="B83" s="93" t="s">
        <v>469</v>
      </c>
      <c r="C83" s="28" t="s">
        <v>511</v>
      </c>
    </row>
    <row r="84" spans="1:3" ht="231" x14ac:dyDescent="0.2">
      <c r="A84" s="83" t="s">
        <v>483</v>
      </c>
      <c r="B84" s="94" t="s">
        <v>476</v>
      </c>
      <c r="C84" s="28" t="s">
        <v>608</v>
      </c>
    </row>
    <row r="85" spans="1:3" ht="105" x14ac:dyDescent="0.2">
      <c r="A85" s="83" t="s">
        <v>483</v>
      </c>
      <c r="B85" s="94" t="s">
        <v>490</v>
      </c>
      <c r="C85" s="28" t="s">
        <v>515</v>
      </c>
    </row>
    <row r="86" spans="1:3" ht="63" x14ac:dyDescent="0.2">
      <c r="A86" s="83" t="s">
        <v>483</v>
      </c>
      <c r="B86" s="94" t="s">
        <v>477</v>
      </c>
      <c r="C86" s="28" t="s">
        <v>491</v>
      </c>
    </row>
    <row r="87" spans="1:3" ht="42" x14ac:dyDescent="0.2">
      <c r="A87" s="83" t="s">
        <v>483</v>
      </c>
      <c r="B87" s="94" t="s">
        <v>478</v>
      </c>
      <c r="C87" s="28" t="s">
        <v>492</v>
      </c>
    </row>
    <row r="88" spans="1:3" ht="42" x14ac:dyDescent="0.2">
      <c r="A88" s="83" t="s">
        <v>483</v>
      </c>
      <c r="B88" s="94" t="s">
        <v>479</v>
      </c>
      <c r="C88" s="28" t="s">
        <v>493</v>
      </c>
    </row>
    <row r="89" spans="1:3" ht="42" x14ac:dyDescent="0.2">
      <c r="A89" s="83" t="s">
        <v>483</v>
      </c>
      <c r="B89" s="94" t="s">
        <v>480</v>
      </c>
      <c r="C89" s="28" t="s">
        <v>494</v>
      </c>
    </row>
  </sheetData>
  <sheetProtection algorithmName="SHA-512" hashValue="ckfGYcLlRaAK7DQwXuSF80sf6GCDWMJduoelLkMK2Ml5qHL1JVh0C/pItG/yXJzX39hMMcQhprpl0UvQLZf7bQ==" saltValue="kcCG6IQuR/LyPYVRPkaM6A==" spinCount="100000" sheet="1" objects="1" scenarios="1"/>
  <autoFilter ref="A1:W89" xr:uid="{5BB453B1-AE7C-B940-B24E-CF4511ECE0A2}">
    <sortState xmlns:xlrd2="http://schemas.microsoft.com/office/spreadsheetml/2017/richdata2" ref="A4:W89">
      <sortCondition ref="A1:A89"/>
    </sortState>
  </autoFilter>
  <sortState xmlns:xlrd2="http://schemas.microsoft.com/office/spreadsheetml/2017/richdata2" ref="B3:W36">
    <sortCondition ref="B36"/>
  </sortState>
  <mergeCells count="2">
    <mergeCell ref="B1:B2"/>
    <mergeCell ref="A1:A2"/>
  </mergeCells>
  <conditionalFormatting sqref="M1:O1">
    <cfRule type="containsText" dxfId="35" priority="12" operator="containsText" text="Low">
      <formula>NOT(ISERROR(SEARCH("Low",M1)))</formula>
    </cfRule>
    <cfRule type="containsText" dxfId="34" priority="13" operator="containsText" text="Medium">
      <formula>NOT(ISERROR(SEARCH("Medium",M1)))</formula>
    </cfRule>
    <cfRule type="containsText" dxfId="33" priority="14" operator="containsText" text="High">
      <formula>NOT(ISERROR(SEARCH("High",M1)))</formula>
    </cfRule>
    <cfRule type="colorScale" priority="15">
      <colorScale>
        <cfvo type="formula" val="High"/>
        <cfvo type="formula" val="Medium"/>
        <cfvo type="formula" val="Low"/>
        <color rgb="FFFF7128"/>
        <color rgb="FFFFEB84"/>
        <color rgb="FFFFEF9C"/>
      </colorScale>
    </cfRule>
    <cfRule type="colorScale" priority="16">
      <colorScale>
        <cfvo type="min"/>
        <cfvo type="percentile" val="50"/>
        <cfvo type="max"/>
        <color rgb="FFF8696B"/>
        <color rgb="FFFFEB84"/>
        <color rgb="FF63BE7B"/>
      </colorScale>
    </cfRule>
  </conditionalFormatting>
  <conditionalFormatting sqref="K1:L1">
    <cfRule type="containsText" dxfId="32" priority="9" operator="containsText" text="Low">
      <formula>NOT(ISERROR(SEARCH("Low",K1)))</formula>
    </cfRule>
    <cfRule type="containsText" dxfId="31" priority="10" operator="containsText" text="Medium">
      <formula>NOT(ISERROR(SEARCH("Medium",K1)))</formula>
    </cfRule>
    <cfRule type="containsText" dxfId="30" priority="11" operator="containsText" text="High">
      <formula>NOT(ISERROR(SEARCH("High",K1)))</formula>
    </cfRule>
  </conditionalFormatting>
  <conditionalFormatting sqref="M2:O2">
    <cfRule type="containsText" dxfId="29" priority="4" operator="containsText" text="Low">
      <formula>NOT(ISERROR(SEARCH("Low",M2)))</formula>
    </cfRule>
    <cfRule type="containsText" dxfId="28" priority="5" operator="containsText" text="Medium">
      <formula>NOT(ISERROR(SEARCH("Medium",M2)))</formula>
    </cfRule>
    <cfRule type="containsText" dxfId="27" priority="6" operator="containsText" text="High">
      <formula>NOT(ISERROR(SEARCH("High",M2)))</formula>
    </cfRule>
    <cfRule type="colorScale" priority="7">
      <colorScale>
        <cfvo type="formula" val="High"/>
        <cfvo type="formula" val="Medium"/>
        <cfvo type="formula" val="Low"/>
        <color rgb="FFFF7128"/>
        <color rgb="FFFFEB84"/>
        <color rgb="FFFFEF9C"/>
      </colorScale>
    </cfRule>
    <cfRule type="colorScale" priority="8">
      <colorScale>
        <cfvo type="min"/>
        <cfvo type="percentile" val="50"/>
        <cfvo type="max"/>
        <color rgb="FFF8696B"/>
        <color rgb="FFFFEB84"/>
        <color rgb="FF63BE7B"/>
      </colorScale>
    </cfRule>
  </conditionalFormatting>
  <conditionalFormatting sqref="K2:L2">
    <cfRule type="containsText" dxfId="26" priority="1" operator="containsText" text="Low">
      <formula>NOT(ISERROR(SEARCH("Low",K2)))</formula>
    </cfRule>
    <cfRule type="containsText" dxfId="25" priority="2" operator="containsText" text="Medium">
      <formula>NOT(ISERROR(SEARCH("Medium",K2)))</formula>
    </cfRule>
    <cfRule type="containsText" dxfId="24" priority="3" operator="containsText" text="High">
      <formula>NOT(ISERROR(SEARCH("High",K2)))</formula>
    </cfRule>
  </conditionalFormatting>
  <pageMargins left="0.7" right="0.7" top="0.75" bottom="0.75" header="0.3" footer="0.3"/>
  <pageSetup scale="10"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7A084-60D6-5B4F-B78A-7D2C2D4E384A}">
  <sheetPr codeName="Sheet2">
    <pageSetUpPr fitToPage="1"/>
  </sheetPr>
  <dimension ref="A1:S89"/>
  <sheetViews>
    <sheetView showGridLines="0" zoomScale="125" zoomScaleNormal="110" workbookViewId="0">
      <pane xSplit="3" ySplit="2" topLeftCell="D3" activePane="bottomRight" state="frozen"/>
      <selection pane="topRight" activeCell="D1" sqref="D1"/>
      <selection pane="bottomLeft" activeCell="A3" sqref="A3"/>
      <selection pane="bottomRight" activeCell="A3" sqref="A3"/>
    </sheetView>
  </sheetViews>
  <sheetFormatPr baseColWidth="10" defaultRowHeight="16" x14ac:dyDescent="0.2"/>
  <cols>
    <col min="1" max="2" width="22.33203125" style="15" customWidth="1"/>
    <col min="3" max="3" width="22.33203125" style="16" customWidth="1"/>
    <col min="4" max="4" width="33.6640625" style="16" customWidth="1"/>
    <col min="5" max="5" width="97" style="15" customWidth="1"/>
    <col min="6" max="6" width="22.33203125" style="16" customWidth="1"/>
    <col min="7" max="11" width="22.33203125" style="15" customWidth="1"/>
    <col min="12" max="12" width="36" style="15" customWidth="1"/>
    <col min="13" max="13" width="69.83203125" style="15" customWidth="1"/>
    <col min="14" max="14" width="22.33203125" style="15" customWidth="1"/>
    <col min="15" max="16" width="28.6640625" style="16" customWidth="1"/>
    <col min="17" max="17" width="22.33203125" style="15" customWidth="1"/>
    <col min="18" max="18" width="77.83203125" style="3" customWidth="1"/>
    <col min="19" max="19" width="37.1640625" style="15" customWidth="1"/>
    <col min="20" max="16384" width="10.83203125" style="15"/>
  </cols>
  <sheetData>
    <row r="1" spans="1:19" s="100" customFormat="1" ht="133" customHeight="1" x14ac:dyDescent="0.2">
      <c r="A1" s="99" t="s">
        <v>59</v>
      </c>
      <c r="B1" s="99" t="s">
        <v>163</v>
      </c>
      <c r="C1" s="99" t="s">
        <v>1</v>
      </c>
      <c r="D1" s="99" t="s">
        <v>772</v>
      </c>
      <c r="E1" s="99" t="s">
        <v>771</v>
      </c>
      <c r="F1" s="99" t="s">
        <v>37</v>
      </c>
      <c r="G1" s="99" t="s">
        <v>3</v>
      </c>
      <c r="H1" s="99" t="s">
        <v>4</v>
      </c>
      <c r="I1" s="99" t="s">
        <v>5</v>
      </c>
      <c r="J1" s="99" t="s">
        <v>6</v>
      </c>
      <c r="K1" s="99" t="s">
        <v>7</v>
      </c>
      <c r="L1" s="99" t="s">
        <v>835</v>
      </c>
      <c r="M1" s="99" t="s">
        <v>836</v>
      </c>
      <c r="N1" s="99" t="s">
        <v>837</v>
      </c>
      <c r="O1" s="99" t="s">
        <v>838</v>
      </c>
      <c r="P1" s="99" t="s">
        <v>839</v>
      </c>
      <c r="Q1" s="99" t="s">
        <v>840</v>
      </c>
      <c r="R1" s="99" t="s">
        <v>841</v>
      </c>
      <c r="S1" s="99" t="s">
        <v>842</v>
      </c>
    </row>
    <row r="2" spans="1:19" s="3" customFormat="1" ht="170" x14ac:dyDescent="0.2">
      <c r="A2" s="8" t="s">
        <v>12</v>
      </c>
      <c r="B2" s="8" t="s">
        <v>164</v>
      </c>
      <c r="C2" s="9" t="s">
        <v>500</v>
      </c>
      <c r="D2" s="9" t="s">
        <v>52</v>
      </c>
      <c r="E2" s="36" t="s">
        <v>504</v>
      </c>
      <c r="F2" s="9" t="s">
        <v>282</v>
      </c>
      <c r="G2" s="8" t="s">
        <v>634</v>
      </c>
      <c r="H2" s="8" t="s">
        <v>636</v>
      </c>
      <c r="I2" s="8" t="s">
        <v>635</v>
      </c>
      <c r="J2" s="8" t="s">
        <v>14</v>
      </c>
      <c r="K2" s="8" t="s">
        <v>14</v>
      </c>
      <c r="L2" s="8" t="s">
        <v>34</v>
      </c>
      <c r="M2" s="10" t="str">
        <f>IF($D2="","",IFERROR(VLOOKUP($D2,Lookup!$A:$B,2,FALSE),""))</f>
        <v>Phase 1:
Unreliable system or performance: The model will go through strict testing, including edge cases, to make sure it worlks reliably in many situations.
Phase 2:
Unreliable system or performance: We will conduct stress testing with unusual or unexpected cases to measure the AI's reliability.
Phase 3:
Unreliable system or performance: Performance metrics will be tracked in real time. If failures occur, rollblack plans will be activated (tool will be stopped immediately and return to last safe version or back to standard non-AI methods).</v>
      </c>
      <c r="N2" s="8" t="s">
        <v>637</v>
      </c>
      <c r="O2" s="12" t="s">
        <v>16</v>
      </c>
      <c r="P2" s="12" t="str">
        <f>IF(O2="yes","✅ Approval criteria met",IF(O2="no","🛑 Approval criteria not met. Modification required",IF(O2="partially","⚠️  Caution. Recommend further mitigation","")))</f>
        <v>🛑 Approval criteria not met. Modification required</v>
      </c>
      <c r="Q2" s="8" t="s">
        <v>17</v>
      </c>
      <c r="R2" s="10" t="str">
        <f>IFERROR(VLOOKUP($D2,Lookup!$A:$C,3,FALSE),"")</f>
        <v xml:space="preserve">Unreliable System or Performance:
Please outline the performance metrics (e.g., sensitivity, specificity, accuracy) you will use to evaluate safety and effectiveness [PHASE 2].
Please outline your plan for updating or retraining the model as new data emerges, including how updates will be validated before deployment.  If not applicable, explain why [PHASE 3].
Please describe how LLM outputs were validated before being used in decisions [PHASE 3].
</v>
      </c>
      <c r="S2" s="8"/>
    </row>
    <row r="3" spans="1:19" s="3" customFormat="1" ht="224" x14ac:dyDescent="0.2">
      <c r="A3" s="8" t="s">
        <v>19</v>
      </c>
      <c r="B3" s="8" t="s">
        <v>164</v>
      </c>
      <c r="C3" s="9" t="s">
        <v>500</v>
      </c>
      <c r="D3" s="9" t="s">
        <v>138</v>
      </c>
      <c r="E3" s="10" t="s">
        <v>504</v>
      </c>
      <c r="F3" s="9" t="s">
        <v>285</v>
      </c>
      <c r="G3" s="8" t="s">
        <v>21</v>
      </c>
      <c r="H3" s="8" t="s">
        <v>626</v>
      </c>
      <c r="I3" s="8" t="s">
        <v>625</v>
      </c>
      <c r="J3" s="8" t="s">
        <v>14</v>
      </c>
      <c r="K3" s="8" t="s">
        <v>14</v>
      </c>
      <c r="L3" s="8" t="s">
        <v>35</v>
      </c>
      <c r="M3" s="10" t="str">
        <f>IF($D3="","",IFERROR(VLOOKUP($D3,Lookup!$A:$B,2,FALSE),""))</f>
        <v>Phase 1:
Lacking required oversight or failing to adhere to required standards: By providing a clear aim or preliminary intended use of the tool, the required governance structure will be identified prior to model training, and all necessary approvals will have been obtained.
Phase 2:
Lacking required oversight or failing to adhere to required standards: Mock incident drills will be conducted during validation to assess governance response readiness. 
Phase 3:
Lacking required oversight or failing to adhere to required standards: Mitigations carry over from Phase 1 and 2 with additional governance body continued oversight as required by the institution. Recommend independent audits done regularly with findings reported to the IRB annually (unless a reportable event that needs to be submitted earlier).</v>
      </c>
      <c r="N3" s="8" t="s">
        <v>57</v>
      </c>
      <c r="O3" s="12" t="s">
        <v>25</v>
      </c>
      <c r="P3" s="12" t="str">
        <f>IF(O3="yes","✅ Approval criteria met",IF(O3="no","🛑 Approval criteria not met. Modification required",IF(O3="partially","⚠️  Caution. Recommend further mitigation","")))</f>
        <v>✅ Approval criteria met</v>
      </c>
      <c r="Q3" s="8" t="s">
        <v>26</v>
      </c>
      <c r="R3" s="10" t="str">
        <f>IFERROR(VLOOKUP($D3,Lookup!$A:$C,3,FALSE),"")</f>
        <v>Lacking Required Oversight or Failing to Adhere to Required Standards:
Please describe how your study aligns with FDA or other regulatory expectations for validation [PHASE 2].
Please provide your governance plan for accountability: Who is responsible for oversight of AI outputs, and how will adverse events or errors be reported and acted upon [PHASE 3]?
Please outline the process for participant recourse if they believe they were harmed or excluded due to AI-driven decisions [PHASE 3].
Please explain how the study ensures compliance with FDA post-market surveillance (if classified as a device) or other applicable regulatory requirements.  If not applicable, explain why [PHASE 3].
Please add a plan for how you will handle errors so patients are not harmed or excluded [PHASE 3].</v>
      </c>
      <c r="S3" s="8"/>
    </row>
    <row r="4" spans="1:19" s="3" customFormat="1" ht="319" x14ac:dyDescent="0.2">
      <c r="A4" s="11" t="s">
        <v>281</v>
      </c>
      <c r="B4" s="11" t="s">
        <v>165</v>
      </c>
      <c r="C4" s="12" t="s">
        <v>500</v>
      </c>
      <c r="D4" s="12" t="s">
        <v>761</v>
      </c>
      <c r="E4" s="13" t="s">
        <v>505</v>
      </c>
      <c r="F4" s="12" t="s">
        <v>285</v>
      </c>
      <c r="G4" s="11" t="s">
        <v>61</v>
      </c>
      <c r="H4" s="11" t="s">
        <v>627</v>
      </c>
      <c r="I4" s="11" t="s">
        <v>23</v>
      </c>
      <c r="J4" s="11" t="s">
        <v>14</v>
      </c>
      <c r="K4" s="11" t="s">
        <v>14</v>
      </c>
      <c r="L4" s="11" t="s">
        <v>78</v>
      </c>
      <c r="M4" s="10" t="str">
        <f>IF($D4="","",IFERROR(VLOOKUP($D4,Lookup!$A:$B,2,FALSE),""))</f>
        <v>Phase 1:
Data insecurity: Before connecting the model to any live systems, we will run security checks to find weeknesses. Internal and external teams will test the system (penetration testing). Results will be included in the IRB Risk assessment.
Phase 2:
Data insecurity: During validation, the AI will face simulated attacks in a sandbox environment. The team will document how the system responds and how it recovers. Results will be used to strengthen response plans for IRB review.
Phase 3:
Data insecurity: The tool will run on a secure network approved by the proper governance body of the institution, and it will have intrusion detection. Any breach will trigger immediate response and rollback. Security will be tested regularly. Any breach would be reported to the IRB as required.</v>
      </c>
      <c r="N4" s="11" t="s">
        <v>57</v>
      </c>
      <c r="O4" s="12" t="s">
        <v>25</v>
      </c>
      <c r="P4" s="12" t="str">
        <f t="shared" ref="P4:P20" si="0">IF(O4="yes","✅ Approval criteria met",IF(O4="no","🛑 Approval criteria not met. Modification required",IF(O4="partially","⚠️  Caution. Recommend further mitigation","")))</f>
        <v>✅ Approval criteria met</v>
      </c>
      <c r="Q4" s="11" t="s">
        <v>79</v>
      </c>
      <c r="R4" s="10" t="str">
        <f>IFERROR(VLOOKUP($D4,Lookup!$A:$C,3,FALSE),"")</f>
        <v>Data insecurity:
Please outline how the dataset will be secured to prevent unauthorized access or breaches [PHASE 1].
Please explain how study data and AI system access will be protected against unauthorized use or cyberattacks. For example, who will be responsible for monitoring for breaches? [PHASE 2 or 3] 
If the AI system is compromised, what corrective steps are in place to stop the attack, notify participants, and prevent harm? [PHASE 2 or 3]</v>
      </c>
      <c r="S4" s="11"/>
    </row>
    <row r="5" spans="1:19" s="3" customFormat="1" ht="332" x14ac:dyDescent="0.2">
      <c r="A5" s="11" t="s">
        <v>64</v>
      </c>
      <c r="B5" s="11" t="s">
        <v>165</v>
      </c>
      <c r="C5" s="12" t="s">
        <v>501</v>
      </c>
      <c r="D5" s="12" t="s">
        <v>757</v>
      </c>
      <c r="E5" s="13" t="s">
        <v>506</v>
      </c>
      <c r="F5" s="12" t="s">
        <v>296</v>
      </c>
      <c r="G5" s="11" t="s">
        <v>70</v>
      </c>
      <c r="H5" s="11" t="s">
        <v>633</v>
      </c>
      <c r="I5" s="11" t="s">
        <v>14</v>
      </c>
      <c r="J5" s="11" t="s">
        <v>14</v>
      </c>
      <c r="K5" s="11" t="s">
        <v>14</v>
      </c>
      <c r="L5" s="11" t="s">
        <v>72</v>
      </c>
      <c r="M5" s="10" t="str">
        <f>IF($D5="","",IFERROR(VLOOKUP($D5,Lookup!$A:$B,2,FALSE),""))</f>
        <v>Phase 1:
Biased results or misrepresentation: This project will train a predictive model using medical records. The data will be deidentified prior to training and analysis. To reduce bias, we will sort training data by race, gender, and age, then check performance across these groups. The model will not be used for patient care. We will run bias tests on retrospective datasets to make sure results are fair.
Phase 2:
Biased results or misrepresentation: We will validate the AI model on prospectively collected data. During this stage, clinicians will review AI-generated outputs alongside their standard workflows but will not rely on them for clinical decisions. A formal testing and auditing protocol has been established to assess subgroup accuracy, data leakage risk, and overfitting. Any potential harms or errors will be logged and reviewed weekly by the study team. No data will be entered into the medical record. Prospective validation will include subgroup performance audits with fairness thresholds.
Phase 3:
Biased results or misrepresentation: End users will be trained to review AI outputs, document when they follow or override them, and report issues. Rollout will be stages, with monitoring for safety and fairness. System performance, safety incidents, and subgroup disparities will be reported to the IRB (and Sponsor, if applicable) quarterly. Output will be labeled as research-use only. A DSMB will review demographic impacts quarterly, and end-users will receive training on limits of generalizability.</v>
      </c>
      <c r="N5" s="11" t="s">
        <v>56</v>
      </c>
      <c r="O5" s="12" t="s">
        <v>617</v>
      </c>
      <c r="P5" s="12" t="str">
        <f t="shared" si="0"/>
        <v>⚠️  Caution. Recommend further mitigation</v>
      </c>
      <c r="Q5" s="11" t="s">
        <v>81</v>
      </c>
      <c r="R5" s="10" t="str">
        <f>IFERROR(VLOOKUP($D5,Lookup!$A:$C,3,FALSE),"")</f>
        <v xml:space="preserve">Biased Resultrs or Misrepresentation: 
Please report the demographics of your training dataset and note any known gaps or limitations [PHASE 1].
Please describe how you will evaluate potential bias in the dataset before model training [PHASE 1].
Please describe how you will evaluate potential bias in the dataset before model training [PHASE 1].
Your training data may be biased. Please add your plan for checking and reducing bias so that no group is unfairly treated [PHASE 2 &amp; 3].
Please explain how you will check that AI does not unfairly harm or exclude marginalized groups [PHASE 3].
</v>
      </c>
      <c r="S5" s="11"/>
    </row>
    <row r="6" spans="1:19" s="3" customFormat="1" ht="252" x14ac:dyDescent="0.2">
      <c r="A6" s="11" t="s">
        <v>73</v>
      </c>
      <c r="B6" s="11" t="s">
        <v>165</v>
      </c>
      <c r="C6" s="12" t="s">
        <v>501</v>
      </c>
      <c r="D6" s="12" t="s">
        <v>763</v>
      </c>
      <c r="E6" s="13" t="s">
        <v>506</v>
      </c>
      <c r="F6" s="12" t="s">
        <v>290</v>
      </c>
      <c r="G6" s="11" t="s">
        <v>76</v>
      </c>
      <c r="H6" s="11" t="s">
        <v>628</v>
      </c>
      <c r="I6" s="11" t="s">
        <v>23</v>
      </c>
      <c r="J6" s="11" t="s">
        <v>23</v>
      </c>
      <c r="K6" s="11" t="s">
        <v>23</v>
      </c>
      <c r="L6" s="14" t="s">
        <v>82</v>
      </c>
      <c r="M6" s="10" t="str">
        <f>IF($D6="","",IFERROR(VLOOKUP($D6,Lookup!$A:$B,2,FALSE),""))</f>
        <v>Phase 1:
Misleading information: Training data will only come from verified sources (e.g., authorized medical/employee/student record) and/or peer-reviewed studies with permission (these studies will be listed in the IRB protocol); public health datasets, or official guidelines. Automated tools will check data quality, and any suspicious data will be excluded. 
Phase 2:
Misleading information: Blinded domain experts will check outputs against peer-reviewed or consensus sources. Any outputs below the credibility threshold will be flagged for correction and retraining (under this same protocol).
Phase 3:
Misleading information: Access will be restricted to verified users. The system will be monitored for "drift" from accurate sources. If drift is found, the model will be retrained. This will be reported to the IRB quarterly, unless IRB determines higher frequency is warranted.</v>
      </c>
      <c r="N6" s="11" t="s">
        <v>58</v>
      </c>
      <c r="O6" s="12" t="s">
        <v>25</v>
      </c>
      <c r="P6" s="12" t="str">
        <f t="shared" si="0"/>
        <v>✅ Approval criteria met</v>
      </c>
      <c r="Q6" s="11" t="s">
        <v>77</v>
      </c>
      <c r="R6" s="10" t="str">
        <f>IFERROR(VLOOKUP($D6,Lookup!$A:$C,3,FALSE),"")</f>
        <v>Misleading Information:
Please describe your plan for documenting early limitations of the model and how those will be addressed before moving to validation [PHASE 1].
Please add a plan for testing model performance on incomplete or messy records (“edge cases”) [PHASE 2].</v>
      </c>
      <c r="S6" s="11"/>
    </row>
    <row r="7" spans="1:19" s="3" customFormat="1" ht="356" x14ac:dyDescent="0.2">
      <c r="A7" s="11" t="s">
        <v>498</v>
      </c>
      <c r="B7" s="11" t="s">
        <v>166</v>
      </c>
      <c r="C7" s="12" t="s">
        <v>502</v>
      </c>
      <c r="D7" s="12" t="s">
        <v>766</v>
      </c>
      <c r="E7" s="35" t="s">
        <v>386</v>
      </c>
      <c r="F7" s="12" t="s">
        <v>285</v>
      </c>
      <c r="G7" s="11" t="s">
        <v>89</v>
      </c>
      <c r="H7" s="11" t="s">
        <v>629</v>
      </c>
      <c r="I7" s="11" t="s">
        <v>14</v>
      </c>
      <c r="J7" s="11" t="s">
        <v>23</v>
      </c>
      <c r="K7" s="11" t="s">
        <v>14</v>
      </c>
      <c r="L7" s="11" t="s">
        <v>97</v>
      </c>
      <c r="M7" s="36" t="str">
        <f>IF($D7="","",IFERROR(VLOOKUP($D7,Lookup!$A:$B,2,FALSE),""))</f>
        <v>Phase 1:
Trusting output without confirmation: Maybe not relevant? The AI will show confidence scores and uncertainty statements with outputs. This is to help users think critically. The design will be documented in the IRB protocol.
Phase 2:
Trusting output without confirmation: Validation participants will be trained to practice caution in acting on any output and to always practice human judgment. The system will require human override, and override frequency will be tracked as a safety measure.
Phase 3:
Trusting output without confirmation: Deployment will be staged across X-number of sites. Outputs will include warnings, users will be prompted to confirm output and if needed, report errors. Logs will be checked for patterns of overreliance and shared annually with the IRB and DSMB.</v>
      </c>
      <c r="N7" s="11" t="s">
        <v>57</v>
      </c>
      <c r="O7" s="12" t="s">
        <v>25</v>
      </c>
      <c r="P7" s="12" t="str">
        <f t="shared" si="0"/>
        <v>✅ Approval criteria met</v>
      </c>
      <c r="Q7" s="11" t="s">
        <v>104</v>
      </c>
      <c r="R7" s="10" t="str">
        <f>IFERROR(VLOOKUP($D7,Lookup!$A:$C,3,FALSE),"")</f>
        <v>Trusting output Without Confirmation:
Please describe in your protocol how you will compare your AI’s performance against existing practice (e.g., standard-of-care approaches) and what those existing practices are [PHASE 2].
Please describe your plan for human oversight (who checks the AI output and how) [PHASE 2 &amp; 3].
Please outline safeguards against automation bias (clinicians over-relying on AI without critical judgment) [PHASE 3].</v>
      </c>
      <c r="S7" s="11"/>
    </row>
    <row r="8" spans="1:19" s="3" customFormat="1" ht="344" x14ac:dyDescent="0.2">
      <c r="A8" s="11" t="s">
        <v>84</v>
      </c>
      <c r="B8" s="11" t="s">
        <v>166</v>
      </c>
      <c r="C8" s="12" t="s">
        <v>502</v>
      </c>
      <c r="D8" s="12" t="s">
        <v>767</v>
      </c>
      <c r="E8" s="35" t="s">
        <v>387</v>
      </c>
      <c r="F8" s="12" t="s">
        <v>287</v>
      </c>
      <c r="G8" s="11" t="s">
        <v>90</v>
      </c>
      <c r="H8" s="11" t="s">
        <v>630</v>
      </c>
      <c r="I8" s="11" t="s">
        <v>14</v>
      </c>
      <c r="J8" s="11" t="s">
        <v>14</v>
      </c>
      <c r="K8" s="11" t="s">
        <v>14</v>
      </c>
      <c r="L8" s="11" t="s">
        <v>98</v>
      </c>
      <c r="M8" s="10" t="str">
        <f>IF($D8="","",IFERROR(VLOOKUP($D8,Lookup!$A:$B,2,FALSE),""))</f>
        <v>Phase 1:
Respect for person/end-user or participant does not have choice if AI is used: Model outputs will be written in suggestive - not directive - language. The AI is meant to support, not replace, human decision-making. This expected interaction and actions to be taken with the AI will be documented in the IRB protocol. The system will not be designed for human reliance. 
Phase 2:
Respect for person/end-user or participant does not have choice if AI is used: During validation, participants will give feedback through surveys and interviews about whether the AI respects human decision-making. This will be used to refine the model and keep human agency central.
Phase 3:
Respect for person/end-user or participant does not have choice if AI is used: The system will require user/participant consent prompts before initiating any automated action to ensure the end-user is fully informed about the investigational use of the tool and their rights. Logs will be maintained to track consent patterns, and results will be shared with the IRB annually.</v>
      </c>
      <c r="N8" s="11" t="s">
        <v>56</v>
      </c>
      <c r="O8" s="12" t="s">
        <v>16</v>
      </c>
      <c r="P8" s="12" t="str">
        <f t="shared" si="0"/>
        <v>🛑 Approval criteria not met. Modification required</v>
      </c>
      <c r="Q8" s="11" t="s">
        <v>105</v>
      </c>
      <c r="R8" s="10" t="str">
        <f>IFERROR(VLOOKUP($D8,Lookup!$A:$C,3,FALSE),"")</f>
        <v xml:space="preserve">Respect for Person (End-User or Participant Does Not Have Choice if AI is Used):
Please describe the authorization and consent process by which you will gain access to the data (e.g., IRB approval, consent, HIPAA authorization, data use agreements) [PHASE 1].
Participants may not understand the AI'S role or how AI affects their care or data. Please describe how you will explain this [PHASE 2 &amp; 3].
Please describe how chatbot responses will be explained to users. For example, will they be informed of the intended use, limitations, and potential hallucination? How should they engage with the tool? What should they not do? Etc. [PHASE 2 &amp; 3].
Please clarify how you will ensure human-in-the-loop oversight for all AI-supported decisions that could affect patient safety or clinical outcomes [PHASE 3].
Please describe how you will communicate risks and limitations of the AI tool to participants, clinicians, and other stakeholders [PHASE 3].
</v>
      </c>
      <c r="S8" s="11"/>
    </row>
    <row r="9" spans="1:19" s="3" customFormat="1" ht="260" x14ac:dyDescent="0.2">
      <c r="A9" s="11" t="s">
        <v>499</v>
      </c>
      <c r="B9" s="11" t="s">
        <v>165</v>
      </c>
      <c r="C9" s="12" t="s">
        <v>503</v>
      </c>
      <c r="D9" s="12" t="s">
        <v>138</v>
      </c>
      <c r="E9" s="35" t="s">
        <v>507</v>
      </c>
      <c r="F9" s="12" t="s">
        <v>532</v>
      </c>
      <c r="G9" s="11" t="s">
        <v>91</v>
      </c>
      <c r="H9" s="11" t="s">
        <v>631</v>
      </c>
      <c r="I9" s="11" t="s">
        <v>23</v>
      </c>
      <c r="J9" s="11" t="s">
        <v>23</v>
      </c>
      <c r="K9" s="11" t="s">
        <v>23</v>
      </c>
      <c r="L9" s="11" t="s">
        <v>99</v>
      </c>
      <c r="M9" s="10" t="str">
        <f>IF($D9="","",IFERROR(VLOOKUP($D9,Lookup!$A:$B,2,FALSE),""))</f>
        <v>Phase 1:
Lacking required oversight or failing to adhere to required standards: By providing a clear aim or preliminary intended use of the tool, the required governance structure will be identified prior to model training, and all necessary approvals will have been obtained.
Phase 2:
Lacking required oversight or failing to adhere to required standards: Mock incident drills will be conducted during validation to assess governance response readiness. 
Phase 3:
Lacking required oversight or failing to adhere to required standards: Mitigations carry over from Phase 1 and 2 with additional governance body continued oversight as required by the institution. Recommend independent audits done regularly with findings reported to the IRB annually (unless a reportable event that needs to be submitted earlier).</v>
      </c>
      <c r="N9" s="11" t="s">
        <v>58</v>
      </c>
      <c r="O9" s="12" t="s">
        <v>610</v>
      </c>
      <c r="P9" s="12" t="str">
        <f t="shared" si="0"/>
        <v/>
      </c>
      <c r="Q9" s="11" t="s">
        <v>106</v>
      </c>
      <c r="R9" s="10" t="str">
        <f>IFERROR(VLOOKUP($D9,Lookup!$A:$C,3,FALSE),"")</f>
        <v>Lacking Required Oversight or Failing to Adhere to Required Standards:
Please describe how your study aligns with FDA or other regulatory expectations for validation [PHASE 2].
Please provide your governance plan for accountability: Who is responsible for oversight of AI outputs, and how will adverse events or errors be reported and acted upon [PHASE 3]?
Please outline the process for participant recourse if they believe they were harmed or excluded due to AI-driven decisions [PHASE 3].
Please explain how the study ensures compliance with FDA post-market surveillance (if classified as a device) or other applicable regulatory requirements.  If not applicable, explain why [PHASE 3].
Please add a plan for how you will handle errors so patients are not harmed or excluded [PHASE 3].</v>
      </c>
      <c r="S9" s="11"/>
    </row>
    <row r="10" spans="1:19" s="3" customFormat="1" ht="247" x14ac:dyDescent="0.2">
      <c r="A10" s="11" t="s">
        <v>533</v>
      </c>
      <c r="B10" s="11" t="s">
        <v>624</v>
      </c>
      <c r="C10" s="12" t="s">
        <v>503</v>
      </c>
      <c r="D10" s="12" t="s">
        <v>769</v>
      </c>
      <c r="E10" s="35" t="s">
        <v>508</v>
      </c>
      <c r="F10" s="12" t="s">
        <v>531</v>
      </c>
      <c r="G10" s="11" t="s">
        <v>92</v>
      </c>
      <c r="H10" s="11" t="s">
        <v>632</v>
      </c>
      <c r="I10" s="11" t="s">
        <v>14</v>
      </c>
      <c r="J10" s="11" t="s">
        <v>14</v>
      </c>
      <c r="K10" s="11" t="s">
        <v>14</v>
      </c>
      <c r="L10" s="11" t="s">
        <v>100</v>
      </c>
      <c r="M10" s="10" t="str">
        <f>IF($D10="","",IFERROR(VLOOKUP($D10,Lookup!$A:$B,2,FALSE),""))</f>
        <v>Phase 1:
Transparency/Interpretability: The AI will use transparent designs with tools like feature maps to explain results. The reasons for design choices (parameters) will be documented.
Phase 2:
Transparency/Interpretability: Clinicians and/or end-users will review the AI's explanations. User studies will check if outputs are clear and appropriate for the audience. 
Phase 3:
Transparency/Interpretability: Participants will be told when AI is used and given lay-language explanations. Records will be kept (documenting reasoning pathways) which will be provided to the IRB and end-user.
Note: ISO requires persons using shall have knowledge of an experience with the tool and its use; and appropriate records shall be maintained.</v>
      </c>
      <c r="N10" s="11" t="s">
        <v>56</v>
      </c>
      <c r="O10" s="12" t="s">
        <v>612</v>
      </c>
      <c r="P10" s="12" t="str">
        <f t="shared" si="0"/>
        <v/>
      </c>
      <c r="Q10" s="11" t="s">
        <v>107</v>
      </c>
      <c r="R10" s="10" t="str">
        <f>IFERROR(VLOOKUP($D10,Lookup!$A:$C,3,FALSE),"")</f>
        <v>Transparency/Interpretability:
Please describe how end-users (e.g., clinicians) will provide structured feedback on the AI’s usefulness, clarity, and transparency when using/testing it [PHASE 2].
Your tool's output may be hard to interpret by the end-user (clinician, patient, participant, etc). Please add how you will explain results to researchers and participants [PHASE 2 &amp; 3].
Researchers may not understand model behavior. Please add how you will explain outputs and limits [PHASE 2 &amp; 3].
Please explain how clinicians will be trained to interpret AI outputs [PHASE 2 &amp; 3].
Please describe how end-users (e.g., participants, students, clinicians, etc.) are trained to interpret AI recommendations and when to override them [PHASE 3].</v>
      </c>
      <c r="S10" s="11"/>
    </row>
    <row r="11" spans="1:19" s="3" customFormat="1" ht="17" x14ac:dyDescent="0.2">
      <c r="A11" s="11"/>
      <c r="B11" s="11"/>
      <c r="C11" s="12"/>
      <c r="D11" s="12"/>
      <c r="E11" s="11"/>
      <c r="F11" s="12"/>
      <c r="G11" s="11"/>
      <c r="H11" s="11"/>
      <c r="I11" s="11"/>
      <c r="J11" s="11"/>
      <c r="K11" s="11"/>
      <c r="L11" s="11"/>
      <c r="M11" s="8" t="str">
        <f>IF($D11="","",IFERROR(VLOOKUP($D11,Lookup!$A:$B,2,FALSE),""))</f>
        <v/>
      </c>
      <c r="N11" s="11"/>
      <c r="O11" s="12"/>
      <c r="P11" s="12" t="str">
        <f t="shared" si="0"/>
        <v/>
      </c>
      <c r="Q11" s="11"/>
      <c r="R11" s="10" t="str">
        <f>IFERROR(VLOOKUP($D11,Lookup!$A:$C,3,FALSE),"")</f>
        <v/>
      </c>
      <c r="S11" s="11"/>
    </row>
    <row r="12" spans="1:19" s="3" customFormat="1" ht="17" x14ac:dyDescent="0.2">
      <c r="A12" s="11"/>
      <c r="B12" s="11"/>
      <c r="C12" s="12"/>
      <c r="D12" s="12"/>
      <c r="E12" s="11"/>
      <c r="F12" s="12"/>
      <c r="G12" s="11"/>
      <c r="H12" s="11"/>
      <c r="I12" s="11"/>
      <c r="J12" s="11"/>
      <c r="K12" s="11"/>
      <c r="L12" s="11"/>
      <c r="M12" s="8" t="str">
        <f>IF($D12="","",IFERROR(VLOOKUP($D12,Lookup!$A:$B,2,FALSE),""))</f>
        <v/>
      </c>
      <c r="N12" s="11"/>
      <c r="O12" s="12"/>
      <c r="P12" s="12" t="str">
        <f t="shared" si="0"/>
        <v/>
      </c>
      <c r="Q12" s="11"/>
      <c r="R12" s="10" t="str">
        <f>IFERROR(VLOOKUP($D12,Lookup!$A:$C,3,FALSE),"")</f>
        <v/>
      </c>
      <c r="S12" s="11"/>
    </row>
    <row r="13" spans="1:19" s="3" customFormat="1" ht="17" x14ac:dyDescent="0.2">
      <c r="A13" s="11"/>
      <c r="B13" s="11"/>
      <c r="C13" s="12"/>
      <c r="D13" s="12"/>
      <c r="E13" s="11"/>
      <c r="F13" s="12"/>
      <c r="G13" s="11"/>
      <c r="H13" s="11"/>
      <c r="I13" s="11"/>
      <c r="J13" s="11"/>
      <c r="K13" s="11"/>
      <c r="L13" s="11"/>
      <c r="M13" s="8" t="str">
        <f>IF($D13="","",IFERROR(VLOOKUP($D13,Lookup!$A:$B,2,FALSE),""))</f>
        <v/>
      </c>
      <c r="N13" s="11"/>
      <c r="O13" s="12"/>
      <c r="P13" s="12" t="str">
        <f t="shared" si="0"/>
        <v/>
      </c>
      <c r="Q13" s="11"/>
      <c r="R13" s="10" t="str">
        <f>IFERROR(VLOOKUP($D13,Lookup!$A:$C,3,FALSE),"")</f>
        <v/>
      </c>
      <c r="S13" s="11"/>
    </row>
    <row r="14" spans="1:19" s="3" customFormat="1" ht="17" x14ac:dyDescent="0.2">
      <c r="A14" s="11"/>
      <c r="B14" s="11"/>
      <c r="C14" s="12"/>
      <c r="D14" s="12"/>
      <c r="E14" s="11"/>
      <c r="F14" s="12"/>
      <c r="G14" s="11"/>
      <c r="H14" s="11"/>
      <c r="I14" s="11"/>
      <c r="J14" s="11"/>
      <c r="K14" s="11"/>
      <c r="L14" s="11"/>
      <c r="M14" s="8" t="str">
        <f>IF($D14="","",IFERROR(VLOOKUP($D14,Lookup!$A:$B,2,FALSE),""))</f>
        <v/>
      </c>
      <c r="N14" s="11"/>
      <c r="O14" s="12"/>
      <c r="P14" s="12" t="str">
        <f t="shared" si="0"/>
        <v/>
      </c>
      <c r="Q14" s="11"/>
      <c r="R14" s="10" t="str">
        <f>IFERROR(VLOOKUP($D14,Lookup!$A:$C,3,FALSE),"")</f>
        <v/>
      </c>
      <c r="S14" s="11"/>
    </row>
    <row r="15" spans="1:19" s="3" customFormat="1" ht="17" x14ac:dyDescent="0.2">
      <c r="A15" s="11"/>
      <c r="B15" s="11"/>
      <c r="C15" s="12"/>
      <c r="D15" s="12"/>
      <c r="E15" s="11"/>
      <c r="F15" s="12"/>
      <c r="G15" s="11"/>
      <c r="H15" s="11"/>
      <c r="I15" s="11"/>
      <c r="J15" s="11"/>
      <c r="K15" s="11"/>
      <c r="L15" s="11"/>
      <c r="M15" s="8" t="str">
        <f>IF($D15="","",IFERROR(VLOOKUP($D15,Lookup!$A:$B,2,FALSE),""))</f>
        <v/>
      </c>
      <c r="N15" s="11"/>
      <c r="O15" s="12"/>
      <c r="P15" s="12" t="str">
        <f t="shared" si="0"/>
        <v/>
      </c>
      <c r="Q15" s="11"/>
      <c r="R15" s="10" t="str">
        <f>IFERROR(VLOOKUP($D15,Lookup!$A:$C,3,FALSE),"")</f>
        <v/>
      </c>
      <c r="S15" s="11"/>
    </row>
    <row r="16" spans="1:19" s="3" customFormat="1" ht="17" x14ac:dyDescent="0.2">
      <c r="A16" s="11"/>
      <c r="B16" s="11"/>
      <c r="C16" s="12"/>
      <c r="D16" s="12"/>
      <c r="E16" s="11"/>
      <c r="F16" s="12"/>
      <c r="G16" s="11"/>
      <c r="H16" s="11"/>
      <c r="I16" s="11"/>
      <c r="J16" s="11"/>
      <c r="K16" s="11"/>
      <c r="L16" s="11"/>
      <c r="M16" s="8" t="str">
        <f>IF($D16="","",IFERROR(VLOOKUP($D16,Lookup!$A:$B,2,FALSE),""))</f>
        <v/>
      </c>
      <c r="N16" s="11"/>
      <c r="O16" s="12"/>
      <c r="P16" s="12" t="str">
        <f t="shared" si="0"/>
        <v/>
      </c>
      <c r="Q16" s="11"/>
      <c r="R16" s="10" t="str">
        <f>IFERROR(VLOOKUP($D16,Lookup!$A:$C,3,FALSE),"")</f>
        <v/>
      </c>
      <c r="S16" s="11"/>
    </row>
    <row r="17" spans="1:19" s="3" customFormat="1" ht="17" x14ac:dyDescent="0.2">
      <c r="A17" s="11"/>
      <c r="B17" s="11"/>
      <c r="C17" s="12"/>
      <c r="D17" s="12"/>
      <c r="E17" s="11"/>
      <c r="F17" s="12"/>
      <c r="G17" s="11"/>
      <c r="H17" s="11"/>
      <c r="I17" s="11"/>
      <c r="J17" s="11"/>
      <c r="K17" s="11"/>
      <c r="L17" s="11"/>
      <c r="M17" s="8" t="str">
        <f>IF($D17="","",IFERROR(VLOOKUP($D17,Lookup!$A:$B,2,FALSE),""))</f>
        <v/>
      </c>
      <c r="N17" s="11"/>
      <c r="O17" s="12"/>
      <c r="P17" s="12" t="str">
        <f t="shared" si="0"/>
        <v/>
      </c>
      <c r="Q17" s="11"/>
      <c r="R17" s="10" t="str">
        <f>IFERROR(VLOOKUP($D17,Lookup!$A:$C,3,FALSE),"")</f>
        <v/>
      </c>
      <c r="S17" s="11"/>
    </row>
    <row r="18" spans="1:19" s="3" customFormat="1" ht="17" x14ac:dyDescent="0.2">
      <c r="A18" s="11"/>
      <c r="B18" s="11"/>
      <c r="C18" s="12"/>
      <c r="D18" s="12"/>
      <c r="E18" s="11"/>
      <c r="F18" s="12"/>
      <c r="G18" s="11"/>
      <c r="H18" s="11"/>
      <c r="I18" s="11"/>
      <c r="J18" s="11"/>
      <c r="K18" s="11"/>
      <c r="L18" s="11"/>
      <c r="M18" s="8" t="str">
        <f>IF($D18="","",IFERROR(VLOOKUP($D18,Lookup!$A:$B,2,FALSE),""))</f>
        <v/>
      </c>
      <c r="N18" s="11"/>
      <c r="O18" s="12"/>
      <c r="P18" s="12" t="str">
        <f t="shared" si="0"/>
        <v/>
      </c>
      <c r="Q18" s="11"/>
      <c r="R18" s="10" t="str">
        <f>IFERROR(VLOOKUP($D18,Lookup!$A:$C,3,FALSE),"")</f>
        <v/>
      </c>
      <c r="S18" s="11"/>
    </row>
    <row r="19" spans="1:19" s="3" customFormat="1" ht="17" x14ac:dyDescent="0.2">
      <c r="A19" s="11"/>
      <c r="B19" s="11"/>
      <c r="C19" s="12"/>
      <c r="D19" s="12"/>
      <c r="E19" s="11"/>
      <c r="F19" s="12"/>
      <c r="G19" s="11"/>
      <c r="H19" s="11"/>
      <c r="I19" s="11"/>
      <c r="J19" s="11"/>
      <c r="K19" s="11"/>
      <c r="L19" s="11"/>
      <c r="M19" s="8" t="str">
        <f>IF($D19="","",IFERROR(VLOOKUP($D19,Lookup!$A:$B,2,FALSE),""))</f>
        <v/>
      </c>
      <c r="N19" s="11"/>
      <c r="O19" s="12"/>
      <c r="P19" s="12" t="str">
        <f t="shared" si="0"/>
        <v/>
      </c>
      <c r="Q19" s="11"/>
      <c r="R19" s="10" t="str">
        <f>IFERROR(VLOOKUP($D19,Lookup!$A:$C,3,FALSE),"")</f>
        <v/>
      </c>
      <c r="S19" s="11"/>
    </row>
    <row r="20" spans="1:19" s="3" customFormat="1" ht="17" x14ac:dyDescent="0.2">
      <c r="A20" s="11"/>
      <c r="B20" s="11"/>
      <c r="C20" s="12"/>
      <c r="D20" s="12"/>
      <c r="E20" s="11"/>
      <c r="F20" s="12"/>
      <c r="G20" s="11"/>
      <c r="H20" s="11"/>
      <c r="I20" s="11"/>
      <c r="J20" s="11"/>
      <c r="K20" s="11"/>
      <c r="L20" s="11"/>
      <c r="M20" s="8" t="str">
        <f>IF($D20="","",IFERROR(VLOOKUP($D20,Lookup!$A:$B,2,FALSE),""))</f>
        <v/>
      </c>
      <c r="N20" s="11"/>
      <c r="O20" s="12"/>
      <c r="P20" s="12" t="str">
        <f t="shared" si="0"/>
        <v/>
      </c>
      <c r="Q20" s="11"/>
      <c r="R20" s="10" t="str">
        <f>IFERROR(VLOOKUP($D20,Lookup!$A:$C,3,FALSE),"")</f>
        <v/>
      </c>
      <c r="S20" s="11"/>
    </row>
    <row r="21" spans="1:19" s="3" customFormat="1" x14ac:dyDescent="0.2">
      <c r="C21" s="7"/>
      <c r="D21" s="7"/>
      <c r="F21" s="7"/>
      <c r="O21" s="7"/>
      <c r="P21" s="7"/>
      <c r="R21" s="10" t="str">
        <f>IFERROR(VLOOKUP($D21,Lookup!$A:$C,3,FALSE),"")</f>
        <v/>
      </c>
    </row>
    <row r="22" spans="1:19" s="3" customFormat="1" x14ac:dyDescent="0.2">
      <c r="C22" s="7"/>
      <c r="D22" s="7"/>
      <c r="F22" s="7"/>
      <c r="O22" s="7"/>
      <c r="P22" s="7"/>
    </row>
    <row r="23" spans="1:19" s="3" customFormat="1" x14ac:dyDescent="0.2">
      <c r="C23" s="7"/>
      <c r="D23" s="7"/>
      <c r="F23" s="7"/>
      <c r="O23" s="7"/>
      <c r="P23" s="7"/>
    </row>
    <row r="24" spans="1:19" s="3" customFormat="1" x14ac:dyDescent="0.2">
      <c r="C24" s="7"/>
      <c r="D24" s="7"/>
      <c r="F24" s="7"/>
      <c r="O24" s="7"/>
      <c r="P24" s="7"/>
    </row>
    <row r="25" spans="1:19" s="3" customFormat="1" x14ac:dyDescent="0.2">
      <c r="C25" s="7"/>
      <c r="D25" s="7"/>
      <c r="F25" s="7"/>
      <c r="O25" s="7"/>
      <c r="P25" s="7"/>
    </row>
    <row r="26" spans="1:19" s="3" customFormat="1" x14ac:dyDescent="0.2">
      <c r="C26" s="7"/>
      <c r="D26" s="7"/>
      <c r="F26" s="7"/>
      <c r="O26" s="7"/>
      <c r="P26" s="7"/>
    </row>
    <row r="27" spans="1:19" s="3" customFormat="1" x14ac:dyDescent="0.2">
      <c r="C27" s="7"/>
      <c r="D27" s="7"/>
      <c r="F27" s="7"/>
      <c r="O27" s="7"/>
      <c r="P27" s="7"/>
    </row>
    <row r="28" spans="1:19" s="3" customFormat="1" x14ac:dyDescent="0.2">
      <c r="C28" s="7"/>
      <c r="D28" s="7"/>
      <c r="F28" s="7"/>
      <c r="O28" s="7"/>
      <c r="P28" s="7"/>
    </row>
    <row r="29" spans="1:19" s="3" customFormat="1" x14ac:dyDescent="0.2">
      <c r="C29" s="7"/>
      <c r="D29" s="7"/>
      <c r="F29" s="7"/>
      <c r="O29" s="7"/>
      <c r="P29" s="7"/>
    </row>
    <row r="30" spans="1:19" s="3" customFormat="1" x14ac:dyDescent="0.2">
      <c r="C30" s="7"/>
      <c r="D30" s="7"/>
      <c r="F30" s="7"/>
      <c r="O30" s="7"/>
      <c r="P30" s="7"/>
    </row>
    <row r="31" spans="1:19" s="3" customFormat="1" x14ac:dyDescent="0.2">
      <c r="C31" s="7"/>
      <c r="D31" s="7"/>
      <c r="F31" s="7"/>
      <c r="O31" s="7"/>
      <c r="P31" s="7"/>
    </row>
    <row r="32" spans="1:19" s="3" customFormat="1" x14ac:dyDescent="0.2">
      <c r="C32" s="7"/>
      <c r="D32" s="7"/>
      <c r="F32" s="7"/>
      <c r="O32" s="7"/>
      <c r="P32" s="7"/>
    </row>
    <row r="33" spans="3:16" s="3" customFormat="1" x14ac:dyDescent="0.2">
      <c r="C33" s="7"/>
      <c r="D33" s="7"/>
      <c r="F33" s="7"/>
      <c r="O33" s="7"/>
      <c r="P33" s="7"/>
    </row>
    <row r="34" spans="3:16" s="3" customFormat="1" x14ac:dyDescent="0.2">
      <c r="C34" s="7"/>
      <c r="D34" s="7"/>
      <c r="F34" s="7"/>
      <c r="O34" s="7"/>
      <c r="P34" s="7"/>
    </row>
    <row r="35" spans="3:16" s="3" customFormat="1" x14ac:dyDescent="0.2">
      <c r="C35" s="7"/>
      <c r="D35" s="7"/>
      <c r="F35" s="7"/>
      <c r="O35" s="7"/>
      <c r="P35" s="7"/>
    </row>
    <row r="36" spans="3:16" s="3" customFormat="1" x14ac:dyDescent="0.2">
      <c r="C36" s="7"/>
      <c r="D36" s="7"/>
      <c r="F36" s="7"/>
      <c r="O36" s="7"/>
      <c r="P36" s="7"/>
    </row>
    <row r="37" spans="3:16" s="3" customFormat="1" x14ac:dyDescent="0.2">
      <c r="C37" s="7"/>
      <c r="D37" s="7"/>
      <c r="F37" s="7"/>
      <c r="O37" s="7"/>
      <c r="P37" s="7"/>
    </row>
    <row r="38" spans="3:16" s="3" customFormat="1" x14ac:dyDescent="0.2">
      <c r="C38" s="7"/>
      <c r="D38" s="7"/>
      <c r="F38" s="7"/>
      <c r="O38" s="7"/>
      <c r="P38" s="7"/>
    </row>
    <row r="39" spans="3:16" s="3" customFormat="1" x14ac:dyDescent="0.2">
      <c r="C39" s="7"/>
      <c r="D39" s="7"/>
      <c r="F39" s="7"/>
      <c r="O39" s="7"/>
      <c r="P39" s="7"/>
    </row>
    <row r="40" spans="3:16" s="3" customFormat="1" x14ac:dyDescent="0.2">
      <c r="C40" s="7"/>
      <c r="D40" s="7"/>
      <c r="F40" s="7"/>
      <c r="O40" s="7"/>
      <c r="P40" s="7"/>
    </row>
    <row r="41" spans="3:16" s="3" customFormat="1" x14ac:dyDescent="0.2">
      <c r="C41" s="7"/>
      <c r="D41" s="7"/>
      <c r="F41" s="7"/>
      <c r="O41" s="7"/>
      <c r="P41" s="7"/>
    </row>
    <row r="42" spans="3:16" s="3" customFormat="1" x14ac:dyDescent="0.2">
      <c r="C42" s="7"/>
      <c r="D42" s="7"/>
      <c r="F42" s="7"/>
      <c r="O42" s="7"/>
      <c r="P42" s="7"/>
    </row>
    <row r="43" spans="3:16" s="3" customFormat="1" x14ac:dyDescent="0.2">
      <c r="C43" s="7"/>
      <c r="D43" s="7"/>
      <c r="F43" s="7"/>
      <c r="O43" s="7"/>
      <c r="P43" s="7"/>
    </row>
    <row r="44" spans="3:16" s="3" customFormat="1" x14ac:dyDescent="0.2">
      <c r="C44" s="7"/>
      <c r="D44" s="7"/>
      <c r="F44" s="7"/>
      <c r="O44" s="7"/>
      <c r="P44" s="7"/>
    </row>
    <row r="45" spans="3:16" s="3" customFormat="1" x14ac:dyDescent="0.2">
      <c r="C45" s="7"/>
      <c r="D45" s="7"/>
      <c r="F45" s="7"/>
      <c r="O45" s="7"/>
      <c r="P45" s="7"/>
    </row>
    <row r="46" spans="3:16" s="3" customFormat="1" x14ac:dyDescent="0.2">
      <c r="C46" s="7"/>
      <c r="D46" s="7"/>
      <c r="F46" s="7"/>
      <c r="O46" s="7"/>
      <c r="P46" s="7"/>
    </row>
    <row r="47" spans="3:16" s="3" customFormat="1" x14ac:dyDescent="0.2">
      <c r="C47" s="7"/>
      <c r="D47" s="7"/>
      <c r="F47" s="7"/>
      <c r="O47" s="7"/>
      <c r="P47" s="7"/>
    </row>
    <row r="48" spans="3:16" s="3" customFormat="1" x14ac:dyDescent="0.2">
      <c r="C48" s="7"/>
      <c r="D48" s="7"/>
      <c r="F48" s="7"/>
      <c r="O48" s="7"/>
      <c r="P48" s="7"/>
    </row>
    <row r="49" spans="3:16" s="3" customFormat="1" x14ac:dyDescent="0.2">
      <c r="C49" s="7"/>
      <c r="D49" s="7"/>
      <c r="F49" s="7"/>
      <c r="O49" s="7"/>
      <c r="P49" s="7"/>
    </row>
    <row r="50" spans="3:16" s="3" customFormat="1" x14ac:dyDescent="0.2">
      <c r="C50" s="7"/>
      <c r="D50" s="7"/>
      <c r="F50" s="7"/>
      <c r="O50" s="7"/>
      <c r="P50" s="7"/>
    </row>
    <row r="51" spans="3:16" s="3" customFormat="1" x14ac:dyDescent="0.2">
      <c r="C51" s="7"/>
      <c r="D51" s="7"/>
      <c r="F51" s="7"/>
      <c r="O51" s="7"/>
      <c r="P51" s="7"/>
    </row>
    <row r="52" spans="3:16" s="3" customFormat="1" x14ac:dyDescent="0.2">
      <c r="C52" s="7"/>
      <c r="D52" s="7"/>
      <c r="F52" s="7"/>
      <c r="O52" s="7"/>
      <c r="P52" s="7"/>
    </row>
    <row r="53" spans="3:16" s="3" customFormat="1" x14ac:dyDescent="0.2">
      <c r="C53" s="7"/>
      <c r="D53" s="7"/>
      <c r="F53" s="7"/>
      <c r="O53" s="7"/>
      <c r="P53" s="7"/>
    </row>
    <row r="54" spans="3:16" s="3" customFormat="1" x14ac:dyDescent="0.2">
      <c r="C54" s="7"/>
      <c r="D54" s="7"/>
      <c r="F54" s="7"/>
      <c r="O54" s="7"/>
      <c r="P54" s="7"/>
    </row>
    <row r="55" spans="3:16" s="3" customFormat="1" x14ac:dyDescent="0.2">
      <c r="C55" s="7"/>
      <c r="D55" s="7"/>
      <c r="F55" s="7"/>
      <c r="O55" s="7"/>
      <c r="P55" s="7"/>
    </row>
    <row r="56" spans="3:16" s="3" customFormat="1" x14ac:dyDescent="0.2">
      <c r="C56" s="7"/>
      <c r="D56" s="7"/>
      <c r="F56" s="7"/>
      <c r="O56" s="7"/>
      <c r="P56" s="7"/>
    </row>
    <row r="57" spans="3:16" s="3" customFormat="1" x14ac:dyDescent="0.2">
      <c r="C57" s="7"/>
      <c r="D57" s="7"/>
      <c r="F57" s="7"/>
      <c r="O57" s="7"/>
      <c r="P57" s="7"/>
    </row>
    <row r="58" spans="3:16" s="3" customFormat="1" x14ac:dyDescent="0.2">
      <c r="C58" s="7"/>
      <c r="D58" s="7"/>
      <c r="F58" s="7"/>
      <c r="O58" s="7"/>
      <c r="P58" s="7"/>
    </row>
    <row r="59" spans="3:16" s="3" customFormat="1" x14ac:dyDescent="0.2">
      <c r="C59" s="7"/>
      <c r="D59" s="7"/>
      <c r="F59" s="7"/>
      <c r="O59" s="7"/>
      <c r="P59" s="7"/>
    </row>
    <row r="60" spans="3:16" s="3" customFormat="1" x14ac:dyDescent="0.2">
      <c r="C60" s="7"/>
      <c r="D60" s="7"/>
      <c r="F60" s="7"/>
      <c r="O60" s="7"/>
      <c r="P60" s="7"/>
    </row>
    <row r="61" spans="3:16" s="3" customFormat="1" x14ac:dyDescent="0.2">
      <c r="C61" s="7"/>
      <c r="D61" s="7"/>
      <c r="F61" s="7"/>
      <c r="O61" s="7"/>
      <c r="P61" s="7"/>
    </row>
    <row r="62" spans="3:16" s="3" customFormat="1" x14ac:dyDescent="0.2">
      <c r="C62" s="7"/>
      <c r="D62" s="7"/>
      <c r="F62" s="7"/>
      <c r="O62" s="7"/>
      <c r="P62" s="7"/>
    </row>
    <row r="63" spans="3:16" s="3" customFormat="1" x14ac:dyDescent="0.2">
      <c r="C63" s="7"/>
      <c r="D63" s="7"/>
      <c r="F63" s="7"/>
      <c r="O63" s="7"/>
      <c r="P63" s="7"/>
    </row>
    <row r="64" spans="3:16" s="3" customFormat="1" x14ac:dyDescent="0.2">
      <c r="C64" s="7"/>
      <c r="D64" s="7"/>
      <c r="F64" s="7"/>
      <c r="O64" s="7"/>
      <c r="P64" s="7"/>
    </row>
    <row r="65" spans="3:16" s="3" customFormat="1" x14ac:dyDescent="0.2">
      <c r="C65" s="7"/>
      <c r="D65" s="7"/>
      <c r="F65" s="7"/>
      <c r="O65" s="7"/>
      <c r="P65" s="7"/>
    </row>
    <row r="66" spans="3:16" s="3" customFormat="1" x14ac:dyDescent="0.2">
      <c r="C66" s="7"/>
      <c r="D66" s="7"/>
      <c r="F66" s="7"/>
      <c r="O66" s="7"/>
      <c r="P66" s="7"/>
    </row>
    <row r="67" spans="3:16" s="3" customFormat="1" x14ac:dyDescent="0.2">
      <c r="C67" s="7"/>
      <c r="D67" s="7"/>
      <c r="F67" s="7"/>
      <c r="O67" s="7"/>
      <c r="P67" s="7"/>
    </row>
    <row r="68" spans="3:16" s="3" customFormat="1" x14ac:dyDescent="0.2">
      <c r="C68" s="7"/>
      <c r="D68" s="7"/>
      <c r="F68" s="7"/>
      <c r="O68" s="7"/>
      <c r="P68" s="7"/>
    </row>
    <row r="69" spans="3:16" s="3" customFormat="1" x14ac:dyDescent="0.2">
      <c r="C69" s="7"/>
      <c r="D69" s="7"/>
      <c r="F69" s="7"/>
      <c r="O69" s="7"/>
      <c r="P69" s="7"/>
    </row>
    <row r="70" spans="3:16" s="3" customFormat="1" x14ac:dyDescent="0.2">
      <c r="C70" s="7"/>
      <c r="D70" s="7"/>
      <c r="F70" s="7"/>
      <c r="O70" s="7"/>
      <c r="P70" s="7"/>
    </row>
    <row r="71" spans="3:16" s="3" customFormat="1" x14ac:dyDescent="0.2">
      <c r="C71" s="7"/>
      <c r="D71" s="7"/>
      <c r="F71" s="7"/>
      <c r="O71" s="7"/>
      <c r="P71" s="7"/>
    </row>
    <row r="72" spans="3:16" s="3" customFormat="1" x14ac:dyDescent="0.2">
      <c r="C72" s="7"/>
      <c r="D72" s="7"/>
      <c r="F72" s="7"/>
      <c r="O72" s="7"/>
      <c r="P72" s="7"/>
    </row>
    <row r="73" spans="3:16" s="3" customFormat="1" x14ac:dyDescent="0.2">
      <c r="C73" s="7"/>
      <c r="D73" s="7"/>
      <c r="F73" s="7"/>
      <c r="O73" s="7"/>
      <c r="P73" s="7"/>
    </row>
    <row r="74" spans="3:16" s="3" customFormat="1" x14ac:dyDescent="0.2">
      <c r="C74" s="7"/>
      <c r="D74" s="7"/>
      <c r="F74" s="7"/>
      <c r="O74" s="7"/>
      <c r="P74" s="7"/>
    </row>
    <row r="75" spans="3:16" s="3" customFormat="1" x14ac:dyDescent="0.2">
      <c r="C75" s="7"/>
      <c r="D75" s="7"/>
      <c r="F75" s="7"/>
      <c r="O75" s="7"/>
      <c r="P75" s="7"/>
    </row>
    <row r="76" spans="3:16" s="3" customFormat="1" x14ac:dyDescent="0.2">
      <c r="C76" s="7"/>
      <c r="D76" s="7"/>
      <c r="F76" s="7"/>
      <c r="O76" s="7"/>
      <c r="P76" s="7"/>
    </row>
    <row r="77" spans="3:16" s="3" customFormat="1" x14ac:dyDescent="0.2">
      <c r="C77" s="7"/>
      <c r="D77" s="7"/>
      <c r="F77" s="7"/>
      <c r="O77" s="7"/>
      <c r="P77" s="7"/>
    </row>
    <row r="78" spans="3:16" s="3" customFormat="1" x14ac:dyDescent="0.2">
      <c r="C78" s="7"/>
      <c r="D78" s="7"/>
      <c r="F78" s="7"/>
      <c r="O78" s="7"/>
      <c r="P78" s="7"/>
    </row>
    <row r="79" spans="3:16" s="3" customFormat="1" x14ac:dyDescent="0.2">
      <c r="C79" s="7"/>
      <c r="D79" s="7"/>
      <c r="F79" s="7"/>
      <c r="O79" s="7"/>
      <c r="P79" s="7"/>
    </row>
    <row r="80" spans="3:16" s="3" customFormat="1" x14ac:dyDescent="0.2">
      <c r="C80" s="7"/>
      <c r="D80" s="7"/>
      <c r="F80" s="7"/>
      <c r="O80" s="7"/>
      <c r="P80" s="7"/>
    </row>
    <row r="81" spans="3:16" s="3" customFormat="1" x14ac:dyDescent="0.2">
      <c r="C81" s="7"/>
      <c r="D81" s="7"/>
      <c r="F81" s="7"/>
      <c r="O81" s="7"/>
      <c r="P81" s="7"/>
    </row>
    <row r="82" spans="3:16" s="3" customFormat="1" x14ac:dyDescent="0.2">
      <c r="C82" s="7"/>
      <c r="D82" s="7"/>
      <c r="F82" s="7"/>
      <c r="O82" s="7"/>
      <c r="P82" s="7"/>
    </row>
    <row r="83" spans="3:16" s="3" customFormat="1" x14ac:dyDescent="0.2">
      <c r="C83" s="7"/>
      <c r="D83" s="7"/>
      <c r="F83" s="7"/>
      <c r="O83" s="7"/>
      <c r="P83" s="7"/>
    </row>
    <row r="84" spans="3:16" s="3" customFormat="1" x14ac:dyDescent="0.2">
      <c r="C84" s="7"/>
      <c r="D84" s="7"/>
      <c r="F84" s="7"/>
      <c r="O84" s="7"/>
      <c r="P84" s="7"/>
    </row>
    <row r="85" spans="3:16" s="3" customFormat="1" x14ac:dyDescent="0.2">
      <c r="C85" s="7"/>
      <c r="D85" s="7"/>
      <c r="F85" s="7"/>
      <c r="O85" s="7"/>
      <c r="P85" s="7"/>
    </row>
    <row r="86" spans="3:16" s="3" customFormat="1" x14ac:dyDescent="0.2">
      <c r="C86" s="7"/>
      <c r="D86" s="7"/>
      <c r="F86" s="7"/>
      <c r="O86" s="7"/>
      <c r="P86" s="7"/>
    </row>
    <row r="87" spans="3:16" s="3" customFormat="1" x14ac:dyDescent="0.2">
      <c r="C87" s="7"/>
      <c r="D87" s="7"/>
      <c r="F87" s="7"/>
      <c r="O87" s="7"/>
      <c r="P87" s="7"/>
    </row>
    <row r="88" spans="3:16" s="3" customFormat="1" x14ac:dyDescent="0.2">
      <c r="C88" s="7"/>
      <c r="D88" s="7"/>
      <c r="F88" s="7"/>
      <c r="O88" s="7"/>
      <c r="P88" s="7"/>
    </row>
    <row r="89" spans="3:16" s="3" customFormat="1" x14ac:dyDescent="0.2">
      <c r="C89" s="7"/>
      <c r="D89" s="7"/>
      <c r="F89" s="7"/>
      <c r="O89" s="7"/>
      <c r="P89" s="7"/>
    </row>
  </sheetData>
  <autoFilter ref="I1:K3" xr:uid="{BA82577E-DB7C-2241-8C94-3BAD227AB728}"/>
  <conditionalFormatting sqref="I2:J1048576">
    <cfRule type="containsText" dxfId="23" priority="17" operator="containsText" text="Low">
      <formula>NOT(ISERROR(SEARCH("Low",I2)))</formula>
    </cfRule>
    <cfRule type="containsText" dxfId="22" priority="18" operator="containsText" text="Medium">
      <formula>NOT(ISERROR(SEARCH("Medium",I2)))</formula>
    </cfRule>
    <cfRule type="containsText" dxfId="21" priority="19" operator="containsText" text="High">
      <formula>NOT(ISERROR(SEARCH("High",I2)))</formula>
    </cfRule>
  </conditionalFormatting>
  <conditionalFormatting sqref="N2">
    <cfRule type="colorScale" priority="16">
      <colorScale>
        <cfvo type="formula" val="Design"/>
        <cfvo type="formula" val="Inform"/>
        <cfvo type="formula" val="Systemic"/>
        <color theme="7"/>
        <color theme="9" tint="0.79998168889431442"/>
        <color theme="5"/>
      </colorScale>
    </cfRule>
  </conditionalFormatting>
  <conditionalFormatting sqref="N2:N20">
    <cfRule type="colorScale" priority="15">
      <colorScale>
        <cfvo type="formula" val="&quot;Distributional [D]&quot;"/>
        <cfvo type="formula" val="&quot;Interactional [I]&quot;"/>
        <cfvo type="formula" val="&quot;Systemic [S]&quot;"/>
        <color theme="4" tint="0.79998168889431442"/>
        <color theme="9" tint="0.79998168889431442"/>
        <color theme="5"/>
      </colorScale>
    </cfRule>
  </conditionalFormatting>
  <conditionalFormatting sqref="L2:L5 L7:L1048576 K2:K1048576 R2:R1048576">
    <cfRule type="containsText" dxfId="20" priority="20" operator="containsText" text="Low">
      <formula>NOT(ISERROR(SEARCH("Low",K2)))</formula>
    </cfRule>
    <cfRule type="containsText" dxfId="19" priority="21" operator="containsText" text="Medium">
      <formula>NOT(ISERROR(SEARCH("Medium",K2)))</formula>
    </cfRule>
    <cfRule type="containsText" dxfId="18" priority="22" operator="containsText" text="High">
      <formula>NOT(ISERROR(SEARCH("High",K2)))</formula>
    </cfRule>
    <cfRule type="colorScale" priority="23">
      <colorScale>
        <cfvo type="formula" val="High"/>
        <cfvo type="formula" val="Medium"/>
        <cfvo type="formula" val="Low"/>
        <color rgb="FFFF7128"/>
        <color rgb="FFFFEB84"/>
        <color rgb="FFFFEF9C"/>
      </colorScale>
    </cfRule>
    <cfRule type="colorScale" priority="24">
      <colorScale>
        <cfvo type="min"/>
        <cfvo type="percentile" val="50"/>
        <cfvo type="max"/>
        <color rgb="FFF8696B"/>
        <color rgb="FFFFEB84"/>
        <color rgb="FF63BE7B"/>
      </colorScale>
    </cfRule>
  </conditionalFormatting>
  <conditionalFormatting sqref="P1:P1048576">
    <cfRule type="iconSet" priority="5">
      <iconSet iconSet="3Symbols2">
        <cfvo type="percent" val="0"/>
        <cfvo type="percent" val="33"/>
        <cfvo type="percent" val="67"/>
      </iconSet>
    </cfRule>
  </conditionalFormatting>
  <conditionalFormatting sqref="O2:O20">
    <cfRule type="expression" dxfId="17" priority="2">
      <formula>$O2="yes"</formula>
    </cfRule>
    <cfRule type="expression" dxfId="16" priority="3">
      <formula>$O2="partially"</formula>
    </cfRule>
    <cfRule type="expression" dxfId="15" priority="4">
      <formula>$O2="no"</formula>
    </cfRule>
  </conditionalFormatting>
  <dataValidations count="2">
    <dataValidation allowBlank="1" showInputMessage="1" showErrorMessage="1" promptTitle="ISO Concept" prompt="This is an ISO concept. Residual Risk Consideration helps IRBs evaluate whether risks are appropriately acknowledged, even if not eliminated." sqref="O1:P1" xr:uid="{C5A812A2-7E82-2344-9A41-BFA17454C907}"/>
    <dataValidation type="list" allowBlank="1" showInputMessage="1" showErrorMessage="1" sqref="C1:C1048576" xr:uid="{951AD87D-63EF-3246-8E27-524057870405}">
      <formula1>RiskDomains</formula1>
    </dataValidation>
  </dataValidations>
  <pageMargins left="0.7" right="0.7" top="0.75" bottom="0.75" header="0.3" footer="0.3"/>
  <pageSetup scale="17" orientation="landscape" horizontalDpi="0" verticalDpi="0"/>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BAF3D71F-1D7A-5442-83B5-AE8CDD5FD3B9}">
          <x14:formula1>
            <xm:f>DropdownValues!$L$2:$L$4</xm:f>
          </x14:formula1>
          <xm:sqref>B2:B20</xm:sqref>
        </x14:dataValidation>
        <x14:dataValidation type="list" allowBlank="1" showInputMessage="1" showErrorMessage="1" xr:uid="{0B595FDF-DE1F-B34E-B5DF-AD560BA4BEAE}">
          <x14:formula1>
            <xm:f>DropdownValues!$C$2:$C$8</xm:f>
          </x14:formula1>
          <xm:sqref>E84:E1048576</xm:sqref>
        </x14:dataValidation>
        <x14:dataValidation type="list" allowBlank="1" showInputMessage="1" showErrorMessage="1" xr:uid="{A77649F2-B80B-DD47-B5BB-BF8F1F784F63}">
          <x14:formula1>
            <xm:f>DropdownValues!$A$2:$A$15</xm:f>
          </x14:formula1>
          <xm:sqref>F1:F1048576</xm:sqref>
        </x14:dataValidation>
        <x14:dataValidation type="list" allowBlank="1" showInputMessage="1" showErrorMessage="1" xr:uid="{805FDA2A-F90E-BF49-A423-D127015747B8}">
          <x14:formula1>
            <xm:f>DropdownValues!$F$2:$F$4</xm:f>
          </x14:formula1>
          <xm:sqref>I1:K1048576</xm:sqref>
        </x14:dataValidation>
        <x14:dataValidation type="list" allowBlank="1" showInputMessage="1" showErrorMessage="1" xr:uid="{3A15A716-6216-EC49-A934-E42AE1C560A3}">
          <x14:formula1>
            <xm:f>DropdownValues!$J$2:$J$25</xm:f>
          </x14:formula1>
          <xm:sqref>E2:E20 D1:D1048576</xm:sqref>
        </x14:dataValidation>
        <x14:dataValidation type="list" allowBlank="1" showInputMessage="1" showErrorMessage="1" xr:uid="{7DAA9304-E859-5C41-A916-F08628A47D20}">
          <x14:formula1>
            <xm:f>DropdownValues!$E$2:$E$4</xm:f>
          </x14:formula1>
          <xm:sqref>N2:N20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577E-DB7C-2241-8C94-3BAD227AB728}">
  <sheetPr codeName="Sheet1">
    <pageSetUpPr fitToPage="1"/>
  </sheetPr>
  <dimension ref="A1:W89"/>
  <sheetViews>
    <sheetView topLeftCell="O1" zoomScale="90" zoomScaleNormal="90" workbookViewId="0">
      <pane ySplit="1" topLeftCell="A2" activePane="bottomLeft" state="frozen"/>
      <selection pane="bottomLeft" activeCell="V2" sqref="V2"/>
    </sheetView>
  </sheetViews>
  <sheetFormatPr baseColWidth="10" defaultRowHeight="16" x14ac:dyDescent="0.2"/>
  <cols>
    <col min="1" max="2" width="22.33203125" style="15" customWidth="1"/>
    <col min="3" max="3" width="22.33203125" style="16" customWidth="1"/>
    <col min="4" max="4" width="97" style="15" customWidth="1"/>
    <col min="5" max="5" width="22.33203125" style="15" customWidth="1"/>
    <col min="6" max="7" width="22.33203125" style="16" customWidth="1"/>
    <col min="8" max="12" width="22.33203125" style="15" customWidth="1"/>
    <col min="13" max="13" width="36" style="15" customWidth="1"/>
    <col min="14" max="14" width="69.83203125" style="15" customWidth="1"/>
    <col min="15" max="18" width="22.33203125" style="15" customWidth="1"/>
    <col min="19" max="20" width="28.6640625" style="16" customWidth="1"/>
    <col min="21" max="21" width="22.33203125" style="15" customWidth="1"/>
    <col min="22" max="22" width="32.83203125" style="3" customWidth="1"/>
    <col min="23" max="23" width="37.1640625" style="15" customWidth="1"/>
    <col min="24" max="16384" width="10.83203125" style="15"/>
  </cols>
  <sheetData>
    <row r="1" spans="1:23" s="7" customFormat="1" ht="118" customHeight="1" x14ac:dyDescent="0.2">
      <c r="A1" s="6" t="s">
        <v>59</v>
      </c>
      <c r="B1" s="17" t="s">
        <v>163</v>
      </c>
      <c r="C1" s="6" t="s">
        <v>1</v>
      </c>
      <c r="D1" s="6" t="s">
        <v>385</v>
      </c>
      <c r="E1" s="6" t="s">
        <v>2</v>
      </c>
      <c r="F1" s="6" t="s">
        <v>36</v>
      </c>
      <c r="G1" s="6" t="s">
        <v>37</v>
      </c>
      <c r="H1" s="6" t="s">
        <v>3</v>
      </c>
      <c r="I1" s="6" t="s">
        <v>4</v>
      </c>
      <c r="J1" s="6" t="s">
        <v>5</v>
      </c>
      <c r="K1" s="6" t="s">
        <v>6</v>
      </c>
      <c r="L1" s="6" t="s">
        <v>7</v>
      </c>
      <c r="M1" s="6" t="s">
        <v>33</v>
      </c>
      <c r="N1" s="6" t="s">
        <v>8</v>
      </c>
      <c r="O1" s="6" t="s">
        <v>55</v>
      </c>
      <c r="P1" s="6" t="s">
        <v>108</v>
      </c>
      <c r="Q1" s="6" t="s">
        <v>113</v>
      </c>
      <c r="R1" s="6" t="s">
        <v>118</v>
      </c>
      <c r="S1" s="6" t="s">
        <v>32</v>
      </c>
      <c r="T1" s="6" t="s">
        <v>619</v>
      </c>
      <c r="U1" s="6" t="s">
        <v>10</v>
      </c>
      <c r="V1" s="6" t="s">
        <v>535</v>
      </c>
      <c r="W1" s="6" t="s">
        <v>11</v>
      </c>
    </row>
    <row r="2" spans="1:23" s="3" customFormat="1" ht="196" x14ac:dyDescent="0.2">
      <c r="A2" s="8" t="s">
        <v>12</v>
      </c>
      <c r="B2" s="8" t="s">
        <v>164</v>
      </c>
      <c r="C2" s="9" t="s">
        <v>500</v>
      </c>
      <c r="D2" s="10" t="s">
        <v>504</v>
      </c>
      <c r="E2" s="8" t="s">
        <v>13</v>
      </c>
      <c r="F2" s="9" t="s">
        <v>497</v>
      </c>
      <c r="G2" s="9" t="s">
        <v>282</v>
      </c>
      <c r="H2" s="8" t="s">
        <v>51</v>
      </c>
      <c r="I2" s="8" t="s">
        <v>143</v>
      </c>
      <c r="J2" s="8" t="s">
        <v>14</v>
      </c>
      <c r="K2" s="8" t="s">
        <v>14</v>
      </c>
      <c r="L2" s="8" t="s">
        <v>14</v>
      </c>
      <c r="M2" s="8" t="s">
        <v>34</v>
      </c>
      <c r="N2" s="8" t="s">
        <v>15</v>
      </c>
      <c r="O2" s="8" t="s">
        <v>56</v>
      </c>
      <c r="P2" s="8" t="s">
        <v>110</v>
      </c>
      <c r="Q2" s="8" t="s">
        <v>116</v>
      </c>
      <c r="R2" s="8" t="s">
        <v>120</v>
      </c>
      <c r="S2" s="12" t="s">
        <v>16</v>
      </c>
      <c r="T2" s="12" t="str">
        <f>IF(S2="No","⚠️ Approval criteria not met. Modification required","")</f>
        <v>⚠️ Approval criteria not met. Modification required</v>
      </c>
      <c r="U2" s="8" t="s">
        <v>17</v>
      </c>
      <c r="V2" s="8"/>
      <c r="W2" s="8" t="s">
        <v>18</v>
      </c>
    </row>
    <row r="3" spans="1:23" s="3" customFormat="1" ht="196" x14ac:dyDescent="0.2">
      <c r="A3" s="8" t="s">
        <v>19</v>
      </c>
      <c r="B3" s="8" t="s">
        <v>164</v>
      </c>
      <c r="C3" s="9" t="s">
        <v>500</v>
      </c>
      <c r="D3" s="10" t="s">
        <v>504</v>
      </c>
      <c r="E3" s="8" t="s">
        <v>20</v>
      </c>
      <c r="F3" s="9" t="s">
        <v>497</v>
      </c>
      <c r="G3" s="9" t="s">
        <v>285</v>
      </c>
      <c r="H3" s="8" t="s">
        <v>21</v>
      </c>
      <c r="I3" s="8" t="s">
        <v>22</v>
      </c>
      <c r="J3" s="8" t="s">
        <v>625</v>
      </c>
      <c r="K3" s="8" t="s">
        <v>14</v>
      </c>
      <c r="L3" s="8" t="s">
        <v>14</v>
      </c>
      <c r="M3" s="8" t="s">
        <v>35</v>
      </c>
      <c r="N3" s="8" t="s">
        <v>24</v>
      </c>
      <c r="O3" s="8" t="s">
        <v>57</v>
      </c>
      <c r="P3" s="8"/>
      <c r="Q3" s="8"/>
      <c r="R3" s="8"/>
      <c r="S3" s="12" t="s">
        <v>25</v>
      </c>
      <c r="T3" s="12" t="str">
        <f t="shared" ref="T3:T10" si="0">IF(S3="No","⚠️ Approval criteria not met. Modification required","")</f>
        <v/>
      </c>
      <c r="U3" s="8" t="s">
        <v>26</v>
      </c>
      <c r="V3" s="8"/>
      <c r="W3" s="8" t="s">
        <v>27</v>
      </c>
    </row>
    <row r="4" spans="1:23" s="3" customFormat="1" ht="319" x14ac:dyDescent="0.2">
      <c r="A4" s="11" t="s">
        <v>281</v>
      </c>
      <c r="B4" s="11" t="s">
        <v>165</v>
      </c>
      <c r="C4" s="12" t="s">
        <v>500</v>
      </c>
      <c r="D4" s="13" t="s">
        <v>505</v>
      </c>
      <c r="E4" s="11" t="s">
        <v>60</v>
      </c>
      <c r="F4" s="12" t="s">
        <v>497</v>
      </c>
      <c r="G4" s="12" t="s">
        <v>285</v>
      </c>
      <c r="H4" s="11" t="s">
        <v>61</v>
      </c>
      <c r="I4" s="11" t="s">
        <v>62</v>
      </c>
      <c r="J4" s="11" t="s">
        <v>23</v>
      </c>
      <c r="K4" s="11" t="s">
        <v>14</v>
      </c>
      <c r="L4" s="11" t="s">
        <v>14</v>
      </c>
      <c r="M4" s="11" t="s">
        <v>78</v>
      </c>
      <c r="N4" s="11" t="s">
        <v>63</v>
      </c>
      <c r="O4" s="11" t="s">
        <v>57</v>
      </c>
      <c r="P4" s="11"/>
      <c r="Q4" s="11"/>
      <c r="R4" s="11"/>
      <c r="S4" s="12" t="s">
        <v>25</v>
      </c>
      <c r="T4" s="12" t="str">
        <f t="shared" si="0"/>
        <v/>
      </c>
      <c r="U4" s="11" t="s">
        <v>79</v>
      </c>
      <c r="V4" s="11" t="s">
        <v>621</v>
      </c>
      <c r="W4" s="11" t="s">
        <v>618</v>
      </c>
    </row>
    <row r="5" spans="1:23" s="3" customFormat="1" ht="252" x14ac:dyDescent="0.2">
      <c r="A5" s="11" t="s">
        <v>64</v>
      </c>
      <c r="B5" s="11" t="s">
        <v>165</v>
      </c>
      <c r="C5" s="12" t="s">
        <v>501</v>
      </c>
      <c r="D5" s="13" t="s">
        <v>506</v>
      </c>
      <c r="E5" s="11" t="s">
        <v>65</v>
      </c>
      <c r="F5" s="12" t="s">
        <v>497</v>
      </c>
      <c r="G5" s="12" t="s">
        <v>296</v>
      </c>
      <c r="H5" s="11" t="s">
        <v>70</v>
      </c>
      <c r="I5" s="11" t="s">
        <v>71</v>
      </c>
      <c r="J5" s="11" t="s">
        <v>14</v>
      </c>
      <c r="K5" s="11" t="s">
        <v>14</v>
      </c>
      <c r="L5" s="11" t="s">
        <v>14</v>
      </c>
      <c r="M5" s="11" t="s">
        <v>72</v>
      </c>
      <c r="N5" s="11" t="s">
        <v>80</v>
      </c>
      <c r="O5" s="11" t="s">
        <v>56</v>
      </c>
      <c r="P5" s="11"/>
      <c r="Q5" s="11"/>
      <c r="R5" s="11"/>
      <c r="S5" s="12" t="s">
        <v>617</v>
      </c>
      <c r="T5" s="12" t="str">
        <f t="shared" si="0"/>
        <v/>
      </c>
      <c r="U5" s="11" t="s">
        <v>81</v>
      </c>
      <c r="V5" s="11"/>
      <c r="W5" s="11" t="s">
        <v>616</v>
      </c>
    </row>
    <row r="6" spans="1:23" s="3" customFormat="1" ht="252" x14ac:dyDescent="0.2">
      <c r="A6" s="11" t="s">
        <v>73</v>
      </c>
      <c r="B6" s="11" t="s">
        <v>165</v>
      </c>
      <c r="C6" s="12" t="s">
        <v>501</v>
      </c>
      <c r="D6" s="13" t="s">
        <v>506</v>
      </c>
      <c r="E6" s="11" t="s">
        <v>74</v>
      </c>
      <c r="F6" s="12" t="s">
        <v>497</v>
      </c>
      <c r="G6" s="12" t="s">
        <v>290</v>
      </c>
      <c r="H6" s="11" t="s">
        <v>76</v>
      </c>
      <c r="I6" s="11" t="s">
        <v>75</v>
      </c>
      <c r="J6" s="11" t="s">
        <v>23</v>
      </c>
      <c r="K6" s="11" t="s">
        <v>23</v>
      </c>
      <c r="L6" s="11" t="s">
        <v>23</v>
      </c>
      <c r="M6" s="14" t="s">
        <v>82</v>
      </c>
      <c r="N6" s="11" t="s">
        <v>83</v>
      </c>
      <c r="O6" s="11" t="s">
        <v>58</v>
      </c>
      <c r="P6" s="11"/>
      <c r="Q6" s="11"/>
      <c r="R6" s="11"/>
      <c r="S6" s="12" t="s">
        <v>25</v>
      </c>
      <c r="T6" s="12" t="str">
        <f t="shared" si="0"/>
        <v/>
      </c>
      <c r="U6" s="11" t="s">
        <v>77</v>
      </c>
      <c r="V6" s="11"/>
      <c r="W6" s="11" t="s">
        <v>615</v>
      </c>
    </row>
    <row r="7" spans="1:23" s="3" customFormat="1" ht="409.6" x14ac:dyDescent="0.2">
      <c r="A7" s="11" t="s">
        <v>498</v>
      </c>
      <c r="B7" s="11" t="s">
        <v>166</v>
      </c>
      <c r="C7" s="12" t="s">
        <v>502</v>
      </c>
      <c r="D7" s="13" t="s">
        <v>386</v>
      </c>
      <c r="E7" s="11" t="s">
        <v>85</v>
      </c>
      <c r="F7" s="12" t="s">
        <v>38</v>
      </c>
      <c r="G7" s="12" t="s">
        <v>285</v>
      </c>
      <c r="H7" s="11" t="s">
        <v>89</v>
      </c>
      <c r="I7" s="11" t="s">
        <v>93</v>
      </c>
      <c r="J7" s="11" t="s">
        <v>14</v>
      </c>
      <c r="K7" s="11" t="s">
        <v>23</v>
      </c>
      <c r="L7" s="11" t="s">
        <v>14</v>
      </c>
      <c r="M7" s="11" t="s">
        <v>97</v>
      </c>
      <c r="N7" s="11" t="s">
        <v>101</v>
      </c>
      <c r="O7" s="11" t="s">
        <v>57</v>
      </c>
      <c r="P7" s="11"/>
      <c r="Q7" s="11"/>
      <c r="R7" s="11"/>
      <c r="S7" s="12" t="s">
        <v>25</v>
      </c>
      <c r="T7" s="12" t="str">
        <f t="shared" si="0"/>
        <v/>
      </c>
      <c r="U7" s="11" t="s">
        <v>104</v>
      </c>
      <c r="V7" s="11"/>
      <c r="W7" s="11" t="s">
        <v>614</v>
      </c>
    </row>
    <row r="8" spans="1:23" s="3" customFormat="1" ht="409.6" x14ac:dyDescent="0.2">
      <c r="A8" s="11" t="s">
        <v>84</v>
      </c>
      <c r="B8" s="11" t="s">
        <v>166</v>
      </c>
      <c r="C8" s="12" t="s">
        <v>502</v>
      </c>
      <c r="D8" s="13" t="s">
        <v>387</v>
      </c>
      <c r="E8" s="11" t="s">
        <v>86</v>
      </c>
      <c r="F8" s="12" t="s">
        <v>497</v>
      </c>
      <c r="G8" s="12" t="s">
        <v>287</v>
      </c>
      <c r="H8" s="11" t="s">
        <v>90</v>
      </c>
      <c r="I8" s="11" t="s">
        <v>94</v>
      </c>
      <c r="J8" s="11" t="s">
        <v>14</v>
      </c>
      <c r="K8" s="11" t="s">
        <v>14</v>
      </c>
      <c r="L8" s="11" t="s">
        <v>14</v>
      </c>
      <c r="M8" s="11" t="s">
        <v>98</v>
      </c>
      <c r="N8" s="11" t="s">
        <v>102</v>
      </c>
      <c r="O8" s="11" t="s">
        <v>56</v>
      </c>
      <c r="P8" s="11"/>
      <c r="Q8" s="11"/>
      <c r="R8" s="11"/>
      <c r="S8" s="12" t="s">
        <v>16</v>
      </c>
      <c r="T8" s="12" t="str">
        <f t="shared" si="0"/>
        <v>⚠️ Approval criteria not met. Modification required</v>
      </c>
      <c r="U8" s="11" t="s">
        <v>105</v>
      </c>
      <c r="V8" s="11"/>
      <c r="W8" s="11" t="s">
        <v>613</v>
      </c>
    </row>
    <row r="9" spans="1:23" s="3" customFormat="1" ht="280" x14ac:dyDescent="0.2">
      <c r="A9" s="11" t="s">
        <v>499</v>
      </c>
      <c r="B9" s="11" t="s">
        <v>165</v>
      </c>
      <c r="C9" s="12" t="s">
        <v>503</v>
      </c>
      <c r="D9" s="13" t="s">
        <v>507</v>
      </c>
      <c r="E9" s="11" t="s">
        <v>87</v>
      </c>
      <c r="F9" s="12" t="s">
        <v>66</v>
      </c>
      <c r="G9" s="12" t="s">
        <v>532</v>
      </c>
      <c r="H9" s="11" t="s">
        <v>91</v>
      </c>
      <c r="I9" s="11" t="s">
        <v>95</v>
      </c>
      <c r="J9" s="11" t="s">
        <v>23</v>
      </c>
      <c r="K9" s="11" t="s">
        <v>23</v>
      </c>
      <c r="L9" s="11" t="s">
        <v>23</v>
      </c>
      <c r="M9" s="11" t="s">
        <v>99</v>
      </c>
      <c r="N9" s="11" t="s">
        <v>103</v>
      </c>
      <c r="O9" s="11" t="s">
        <v>58</v>
      </c>
      <c r="P9" s="11"/>
      <c r="Q9" s="11"/>
      <c r="R9" s="11"/>
      <c r="S9" s="12" t="s">
        <v>610</v>
      </c>
      <c r="T9" s="12" t="str">
        <f t="shared" si="0"/>
        <v/>
      </c>
      <c r="U9" s="11" t="s">
        <v>106</v>
      </c>
      <c r="V9" s="11"/>
      <c r="W9" s="11" t="s">
        <v>611</v>
      </c>
    </row>
    <row r="10" spans="1:23" s="3" customFormat="1" ht="293" x14ac:dyDescent="0.2">
      <c r="A10" s="11" t="s">
        <v>533</v>
      </c>
      <c r="B10" s="11" t="s">
        <v>624</v>
      </c>
      <c r="C10" s="12" t="s">
        <v>503</v>
      </c>
      <c r="D10" s="13" t="s">
        <v>508</v>
      </c>
      <c r="E10" s="11" t="s">
        <v>88</v>
      </c>
      <c r="F10" s="12" t="s">
        <v>534</v>
      </c>
      <c r="G10" s="12" t="s">
        <v>531</v>
      </c>
      <c r="H10" s="11" t="s">
        <v>92</v>
      </c>
      <c r="I10" s="11" t="s">
        <v>96</v>
      </c>
      <c r="J10" s="11" t="s">
        <v>14</v>
      </c>
      <c r="K10" s="11" t="s">
        <v>14</v>
      </c>
      <c r="L10" s="11" t="s">
        <v>14</v>
      </c>
      <c r="M10" s="11" t="s">
        <v>100</v>
      </c>
      <c r="N10" s="11" t="s">
        <v>623</v>
      </c>
      <c r="O10" s="11" t="s">
        <v>56</v>
      </c>
      <c r="P10" s="11"/>
      <c r="Q10" s="11"/>
      <c r="R10" s="11"/>
      <c r="S10" s="12" t="s">
        <v>612</v>
      </c>
      <c r="T10" s="12" t="str">
        <f t="shared" si="0"/>
        <v/>
      </c>
      <c r="U10" s="11" t="s">
        <v>107</v>
      </c>
      <c r="V10" s="11"/>
      <c r="W10" s="11" t="s">
        <v>622</v>
      </c>
    </row>
    <row r="11" spans="1:23" s="3" customFormat="1" x14ac:dyDescent="0.2">
      <c r="A11" s="11"/>
      <c r="B11" s="11"/>
      <c r="C11" s="12"/>
      <c r="D11" s="11"/>
      <c r="E11" s="11"/>
      <c r="F11" s="12"/>
      <c r="G11" s="12"/>
      <c r="H11" s="11"/>
      <c r="I11" s="11"/>
      <c r="J11" s="11"/>
      <c r="K11" s="11"/>
      <c r="L11" s="11"/>
      <c r="M11" s="11"/>
      <c r="N11" s="11"/>
      <c r="O11" s="11"/>
      <c r="P11" s="11"/>
      <c r="Q11" s="11"/>
      <c r="R11" s="11"/>
      <c r="S11" s="12"/>
      <c r="T11" s="12"/>
      <c r="U11" s="11"/>
      <c r="V11" s="11"/>
      <c r="W11" s="11"/>
    </row>
    <row r="12" spans="1:23" s="3" customFormat="1" x14ac:dyDescent="0.2">
      <c r="A12" s="11"/>
      <c r="B12" s="11"/>
      <c r="C12" s="12"/>
      <c r="D12" s="11"/>
      <c r="E12" s="11"/>
      <c r="F12" s="12"/>
      <c r="G12" s="12"/>
      <c r="H12" s="11"/>
      <c r="I12" s="11"/>
      <c r="J12" s="11"/>
      <c r="K12" s="11"/>
      <c r="L12" s="11"/>
      <c r="M12" s="11"/>
      <c r="N12" s="11"/>
      <c r="O12" s="11"/>
      <c r="P12" s="11"/>
      <c r="Q12" s="11"/>
      <c r="R12" s="11"/>
      <c r="S12" s="12"/>
      <c r="T12" s="12"/>
      <c r="U12" s="11"/>
      <c r="V12" s="11"/>
      <c r="W12" s="11"/>
    </row>
    <row r="13" spans="1:23" s="3" customFormat="1" x14ac:dyDescent="0.2">
      <c r="A13" s="11"/>
      <c r="B13" s="11"/>
      <c r="C13" s="12"/>
      <c r="D13" s="11"/>
      <c r="E13" s="11"/>
      <c r="F13" s="12"/>
      <c r="G13" s="12"/>
      <c r="H13" s="11"/>
      <c r="I13" s="11"/>
      <c r="J13" s="11"/>
      <c r="K13" s="11"/>
      <c r="L13" s="11"/>
      <c r="M13" s="11"/>
      <c r="N13" s="11"/>
      <c r="O13" s="11"/>
      <c r="P13" s="11"/>
      <c r="Q13" s="11"/>
      <c r="R13" s="11"/>
      <c r="S13" s="12"/>
      <c r="T13" s="12"/>
      <c r="U13" s="11"/>
      <c r="V13" s="11"/>
      <c r="W13" s="11"/>
    </row>
    <row r="14" spans="1:23" s="3" customFormat="1" x14ac:dyDescent="0.2">
      <c r="A14" s="11"/>
      <c r="B14" s="11"/>
      <c r="C14" s="12"/>
      <c r="D14" s="11"/>
      <c r="E14" s="11"/>
      <c r="F14" s="12"/>
      <c r="G14" s="12"/>
      <c r="H14" s="11"/>
      <c r="I14" s="11"/>
      <c r="J14" s="11"/>
      <c r="K14" s="11"/>
      <c r="L14" s="11"/>
      <c r="M14" s="11"/>
      <c r="N14" s="11"/>
      <c r="O14" s="11"/>
      <c r="P14" s="11"/>
      <c r="Q14" s="11"/>
      <c r="R14" s="11"/>
      <c r="S14" s="12"/>
      <c r="T14" s="12"/>
      <c r="U14" s="11"/>
      <c r="V14" s="11"/>
      <c r="W14" s="11"/>
    </row>
    <row r="15" spans="1:23" s="3" customFormat="1" x14ac:dyDescent="0.2">
      <c r="A15" s="11"/>
      <c r="B15" s="11"/>
      <c r="C15" s="12"/>
      <c r="D15" s="11"/>
      <c r="E15" s="11"/>
      <c r="F15" s="12"/>
      <c r="G15" s="12"/>
      <c r="H15" s="11"/>
      <c r="I15" s="11"/>
      <c r="J15" s="11"/>
      <c r="K15" s="11"/>
      <c r="L15" s="11"/>
      <c r="M15" s="11"/>
      <c r="N15" s="11"/>
      <c r="O15" s="11"/>
      <c r="P15" s="11"/>
      <c r="Q15" s="11"/>
      <c r="R15" s="11"/>
      <c r="S15" s="12"/>
      <c r="T15" s="12"/>
      <c r="U15" s="11"/>
      <c r="V15" s="11"/>
      <c r="W15" s="11"/>
    </row>
    <row r="16" spans="1:23" s="3" customFormat="1" x14ac:dyDescent="0.2">
      <c r="A16" s="11"/>
      <c r="B16" s="11"/>
      <c r="C16" s="12"/>
      <c r="D16" s="11"/>
      <c r="E16" s="11"/>
      <c r="F16" s="12"/>
      <c r="G16" s="12"/>
      <c r="H16" s="11"/>
      <c r="I16" s="11"/>
      <c r="J16" s="11"/>
      <c r="K16" s="11"/>
      <c r="L16" s="11"/>
      <c r="M16" s="11"/>
      <c r="N16" s="11"/>
      <c r="O16" s="11"/>
      <c r="P16" s="11"/>
      <c r="Q16" s="11"/>
      <c r="R16" s="11"/>
      <c r="S16" s="12"/>
      <c r="T16" s="12"/>
      <c r="U16" s="11"/>
      <c r="V16" s="11"/>
      <c r="W16" s="11"/>
    </row>
    <row r="17" spans="1:23" s="3" customFormat="1" x14ac:dyDescent="0.2">
      <c r="A17" s="11"/>
      <c r="B17" s="11"/>
      <c r="C17" s="12"/>
      <c r="D17" s="11"/>
      <c r="E17" s="11"/>
      <c r="F17" s="12"/>
      <c r="G17" s="12"/>
      <c r="H17" s="11"/>
      <c r="I17" s="11"/>
      <c r="J17" s="11"/>
      <c r="K17" s="11"/>
      <c r="L17" s="11"/>
      <c r="M17" s="11"/>
      <c r="N17" s="11"/>
      <c r="O17" s="11"/>
      <c r="P17" s="11"/>
      <c r="Q17" s="11"/>
      <c r="R17" s="11"/>
      <c r="S17" s="12"/>
      <c r="T17" s="12"/>
      <c r="U17" s="11"/>
      <c r="V17" s="11"/>
      <c r="W17" s="11"/>
    </row>
    <row r="18" spans="1:23" s="3" customFormat="1" x14ac:dyDescent="0.2">
      <c r="A18" s="11"/>
      <c r="B18" s="11"/>
      <c r="C18" s="12"/>
      <c r="D18" s="11"/>
      <c r="E18" s="11"/>
      <c r="F18" s="12"/>
      <c r="G18" s="12"/>
      <c r="H18" s="11"/>
      <c r="I18" s="11"/>
      <c r="J18" s="11"/>
      <c r="K18" s="11"/>
      <c r="L18" s="11"/>
      <c r="M18" s="11"/>
      <c r="N18" s="11"/>
      <c r="O18" s="11"/>
      <c r="P18" s="11"/>
      <c r="Q18" s="11"/>
      <c r="R18" s="11"/>
      <c r="S18" s="12"/>
      <c r="T18" s="12"/>
      <c r="U18" s="11"/>
      <c r="V18" s="11"/>
      <c r="W18" s="11"/>
    </row>
    <row r="19" spans="1:23" s="3" customFormat="1" x14ac:dyDescent="0.2">
      <c r="A19" s="11"/>
      <c r="B19" s="11"/>
      <c r="C19" s="12"/>
      <c r="D19" s="11"/>
      <c r="E19" s="11"/>
      <c r="F19" s="12"/>
      <c r="G19" s="12"/>
      <c r="H19" s="11"/>
      <c r="I19" s="11"/>
      <c r="J19" s="11"/>
      <c r="K19" s="11"/>
      <c r="L19" s="11"/>
      <c r="M19" s="11"/>
      <c r="N19" s="11"/>
      <c r="O19" s="11"/>
      <c r="P19" s="11"/>
      <c r="Q19" s="11"/>
      <c r="R19" s="11"/>
      <c r="S19" s="12"/>
      <c r="T19" s="12"/>
      <c r="U19" s="11"/>
      <c r="V19" s="11"/>
      <c r="W19" s="11"/>
    </row>
    <row r="20" spans="1:23" s="3" customFormat="1" x14ac:dyDescent="0.2">
      <c r="A20" s="11"/>
      <c r="B20" s="11"/>
      <c r="C20" s="12"/>
      <c r="D20" s="11"/>
      <c r="E20" s="11"/>
      <c r="F20" s="12"/>
      <c r="G20" s="12"/>
      <c r="H20" s="11"/>
      <c r="I20" s="11"/>
      <c r="J20" s="11"/>
      <c r="K20" s="11"/>
      <c r="L20" s="11"/>
      <c r="M20" s="11"/>
      <c r="N20" s="11"/>
      <c r="O20" s="11"/>
      <c r="P20" s="11"/>
      <c r="Q20" s="11"/>
      <c r="R20" s="11"/>
      <c r="S20" s="12"/>
      <c r="T20" s="12"/>
      <c r="U20" s="11"/>
      <c r="V20" s="11"/>
      <c r="W20" s="11"/>
    </row>
    <row r="21" spans="1:23" s="3" customFormat="1" x14ac:dyDescent="0.2">
      <c r="C21" s="7"/>
      <c r="F21" s="7"/>
      <c r="G21" s="7"/>
      <c r="S21" s="7"/>
      <c r="T21" s="7"/>
    </row>
    <row r="22" spans="1:23" s="3" customFormat="1" x14ac:dyDescent="0.2">
      <c r="C22" s="7"/>
      <c r="F22" s="7"/>
      <c r="G22" s="7"/>
      <c r="S22" s="7"/>
      <c r="T22" s="7"/>
    </row>
    <row r="23" spans="1:23" s="3" customFormat="1" x14ac:dyDescent="0.2">
      <c r="C23" s="7"/>
      <c r="F23" s="7"/>
      <c r="G23" s="7"/>
      <c r="S23" s="7"/>
      <c r="T23" s="7"/>
    </row>
    <row r="24" spans="1:23" s="3" customFormat="1" x14ac:dyDescent="0.2">
      <c r="C24" s="7"/>
      <c r="F24" s="7"/>
      <c r="G24" s="7"/>
      <c r="S24" s="7"/>
      <c r="T24" s="7"/>
    </row>
    <row r="25" spans="1:23" s="3" customFormat="1" x14ac:dyDescent="0.2">
      <c r="C25" s="7"/>
      <c r="F25" s="7"/>
      <c r="G25" s="7"/>
      <c r="S25" s="7"/>
      <c r="T25" s="7"/>
    </row>
    <row r="26" spans="1:23" s="3" customFormat="1" x14ac:dyDescent="0.2">
      <c r="C26" s="7"/>
      <c r="F26" s="7"/>
      <c r="G26" s="7"/>
      <c r="S26" s="7"/>
      <c r="T26" s="7"/>
    </row>
    <row r="27" spans="1:23" s="3" customFormat="1" x14ac:dyDescent="0.2">
      <c r="C27" s="7"/>
      <c r="F27" s="7"/>
      <c r="G27" s="7"/>
      <c r="S27" s="7"/>
      <c r="T27" s="7"/>
    </row>
    <row r="28" spans="1:23" s="3" customFormat="1" x14ac:dyDescent="0.2">
      <c r="C28" s="7"/>
      <c r="F28" s="7"/>
      <c r="G28" s="7"/>
      <c r="S28" s="7"/>
      <c r="T28" s="7"/>
    </row>
    <row r="29" spans="1:23" s="3" customFormat="1" x14ac:dyDescent="0.2">
      <c r="C29" s="7"/>
      <c r="F29" s="7"/>
      <c r="G29" s="7"/>
      <c r="S29" s="7"/>
      <c r="T29" s="7"/>
    </row>
    <row r="30" spans="1:23" s="3" customFormat="1" x14ac:dyDescent="0.2">
      <c r="C30" s="7"/>
      <c r="F30" s="7"/>
      <c r="G30" s="7"/>
      <c r="S30" s="7"/>
      <c r="T30" s="7"/>
    </row>
    <row r="31" spans="1:23" s="3" customFormat="1" x14ac:dyDescent="0.2">
      <c r="C31" s="7"/>
      <c r="F31" s="7"/>
      <c r="G31" s="7"/>
      <c r="S31" s="7"/>
      <c r="T31" s="7"/>
    </row>
    <row r="32" spans="1:23" s="3" customFormat="1" x14ac:dyDescent="0.2">
      <c r="C32" s="7"/>
      <c r="F32" s="7"/>
      <c r="G32" s="7"/>
      <c r="S32" s="7"/>
      <c r="T32" s="7"/>
    </row>
    <row r="33" spans="3:20" s="3" customFormat="1" x14ac:dyDescent="0.2">
      <c r="C33" s="7"/>
      <c r="F33" s="7"/>
      <c r="G33" s="7"/>
      <c r="S33" s="7"/>
      <c r="T33" s="7"/>
    </row>
    <row r="34" spans="3:20" s="3" customFormat="1" x14ac:dyDescent="0.2">
      <c r="C34" s="7"/>
      <c r="F34" s="7"/>
      <c r="G34" s="7"/>
      <c r="S34" s="7"/>
      <c r="T34" s="7"/>
    </row>
    <row r="35" spans="3:20" s="3" customFormat="1" x14ac:dyDescent="0.2">
      <c r="C35" s="7"/>
      <c r="F35" s="7"/>
      <c r="G35" s="7"/>
      <c r="S35" s="7"/>
      <c r="T35" s="7"/>
    </row>
    <row r="36" spans="3:20" s="3" customFormat="1" x14ac:dyDescent="0.2">
      <c r="C36" s="7"/>
      <c r="F36" s="7"/>
      <c r="G36" s="7"/>
      <c r="S36" s="7"/>
      <c r="T36" s="7"/>
    </row>
    <row r="37" spans="3:20" s="3" customFormat="1" x14ac:dyDescent="0.2">
      <c r="C37" s="7"/>
      <c r="F37" s="7"/>
      <c r="G37" s="7"/>
      <c r="S37" s="7"/>
      <c r="T37" s="7"/>
    </row>
    <row r="38" spans="3:20" s="3" customFormat="1" x14ac:dyDescent="0.2">
      <c r="C38" s="7"/>
      <c r="F38" s="7"/>
      <c r="G38" s="7"/>
      <c r="S38" s="7"/>
      <c r="T38" s="7"/>
    </row>
    <row r="39" spans="3:20" s="3" customFormat="1" x14ac:dyDescent="0.2">
      <c r="C39" s="7"/>
      <c r="F39" s="7"/>
      <c r="G39" s="7"/>
      <c r="S39" s="7"/>
      <c r="T39" s="7"/>
    </row>
    <row r="40" spans="3:20" s="3" customFormat="1" x14ac:dyDescent="0.2">
      <c r="C40" s="7"/>
      <c r="F40" s="7"/>
      <c r="G40" s="7"/>
      <c r="S40" s="7"/>
      <c r="T40" s="7"/>
    </row>
    <row r="41" spans="3:20" s="3" customFormat="1" x14ac:dyDescent="0.2">
      <c r="C41" s="7"/>
      <c r="F41" s="7"/>
      <c r="G41" s="7"/>
      <c r="S41" s="7"/>
      <c r="T41" s="7"/>
    </row>
    <row r="42" spans="3:20" s="3" customFormat="1" x14ac:dyDescent="0.2">
      <c r="C42" s="7"/>
      <c r="F42" s="7"/>
      <c r="G42" s="7"/>
      <c r="S42" s="7"/>
      <c r="T42" s="7"/>
    </row>
    <row r="43" spans="3:20" s="3" customFormat="1" x14ac:dyDescent="0.2">
      <c r="C43" s="7"/>
      <c r="F43" s="7"/>
      <c r="G43" s="7"/>
      <c r="S43" s="7"/>
      <c r="T43" s="7"/>
    </row>
    <row r="44" spans="3:20" s="3" customFormat="1" x14ac:dyDescent="0.2">
      <c r="C44" s="7"/>
      <c r="F44" s="7"/>
      <c r="G44" s="7"/>
      <c r="S44" s="7"/>
      <c r="T44" s="7"/>
    </row>
    <row r="45" spans="3:20" s="3" customFormat="1" x14ac:dyDescent="0.2">
      <c r="C45" s="7"/>
      <c r="F45" s="7"/>
      <c r="G45" s="7"/>
      <c r="S45" s="7"/>
      <c r="T45" s="7"/>
    </row>
    <row r="46" spans="3:20" s="3" customFormat="1" x14ac:dyDescent="0.2">
      <c r="C46" s="7"/>
      <c r="F46" s="7"/>
      <c r="G46" s="7"/>
      <c r="S46" s="7"/>
      <c r="T46" s="7"/>
    </row>
    <row r="47" spans="3:20" s="3" customFormat="1" x14ac:dyDescent="0.2">
      <c r="C47" s="7"/>
      <c r="F47" s="7"/>
      <c r="G47" s="7"/>
      <c r="S47" s="7"/>
      <c r="T47" s="7"/>
    </row>
    <row r="48" spans="3:20" s="3" customFormat="1" x14ac:dyDescent="0.2">
      <c r="C48" s="7"/>
      <c r="F48" s="7"/>
      <c r="G48" s="7"/>
      <c r="S48" s="7"/>
      <c r="T48" s="7"/>
    </row>
    <row r="49" spans="3:20" s="3" customFormat="1" x14ac:dyDescent="0.2">
      <c r="C49" s="7"/>
      <c r="F49" s="7"/>
      <c r="G49" s="7"/>
      <c r="S49" s="7"/>
      <c r="T49" s="7"/>
    </row>
    <row r="50" spans="3:20" s="3" customFormat="1" x14ac:dyDescent="0.2">
      <c r="C50" s="7"/>
      <c r="F50" s="7"/>
      <c r="G50" s="7"/>
      <c r="S50" s="7"/>
      <c r="T50" s="7"/>
    </row>
    <row r="51" spans="3:20" s="3" customFormat="1" x14ac:dyDescent="0.2">
      <c r="C51" s="7"/>
      <c r="F51" s="7"/>
      <c r="G51" s="7"/>
      <c r="S51" s="7"/>
      <c r="T51" s="7"/>
    </row>
    <row r="52" spans="3:20" s="3" customFormat="1" x14ac:dyDescent="0.2">
      <c r="C52" s="7"/>
      <c r="F52" s="7"/>
      <c r="G52" s="7"/>
      <c r="S52" s="7"/>
      <c r="T52" s="7"/>
    </row>
    <row r="53" spans="3:20" s="3" customFormat="1" x14ac:dyDescent="0.2">
      <c r="C53" s="7"/>
      <c r="F53" s="7"/>
      <c r="G53" s="7"/>
      <c r="S53" s="7"/>
      <c r="T53" s="7"/>
    </row>
    <row r="54" spans="3:20" s="3" customFormat="1" x14ac:dyDescent="0.2">
      <c r="C54" s="7"/>
      <c r="F54" s="7"/>
      <c r="G54" s="7"/>
      <c r="S54" s="7"/>
      <c r="T54" s="7"/>
    </row>
    <row r="55" spans="3:20" s="3" customFormat="1" x14ac:dyDescent="0.2">
      <c r="C55" s="7"/>
      <c r="F55" s="7"/>
      <c r="G55" s="7"/>
      <c r="S55" s="7"/>
      <c r="T55" s="7"/>
    </row>
    <row r="56" spans="3:20" s="3" customFormat="1" x14ac:dyDescent="0.2">
      <c r="C56" s="7"/>
      <c r="F56" s="7"/>
      <c r="G56" s="7"/>
      <c r="S56" s="7"/>
      <c r="T56" s="7"/>
    </row>
    <row r="57" spans="3:20" s="3" customFormat="1" x14ac:dyDescent="0.2">
      <c r="C57" s="7"/>
      <c r="F57" s="7"/>
      <c r="G57" s="7"/>
      <c r="S57" s="7"/>
      <c r="T57" s="7"/>
    </row>
    <row r="58" spans="3:20" s="3" customFormat="1" x14ac:dyDescent="0.2">
      <c r="C58" s="7"/>
      <c r="F58" s="7"/>
      <c r="G58" s="7"/>
      <c r="S58" s="7"/>
      <c r="T58" s="7"/>
    </row>
    <row r="59" spans="3:20" s="3" customFormat="1" x14ac:dyDescent="0.2">
      <c r="C59" s="7"/>
      <c r="F59" s="7"/>
      <c r="G59" s="7"/>
      <c r="S59" s="7"/>
      <c r="T59" s="7"/>
    </row>
    <row r="60" spans="3:20" s="3" customFormat="1" x14ac:dyDescent="0.2">
      <c r="C60" s="7"/>
      <c r="F60" s="7"/>
      <c r="G60" s="7"/>
      <c r="S60" s="7"/>
      <c r="T60" s="7"/>
    </row>
    <row r="61" spans="3:20" s="3" customFormat="1" x14ac:dyDescent="0.2">
      <c r="C61" s="7"/>
      <c r="F61" s="7"/>
      <c r="G61" s="7"/>
      <c r="S61" s="7"/>
      <c r="T61" s="7"/>
    </row>
    <row r="62" spans="3:20" s="3" customFormat="1" x14ac:dyDescent="0.2">
      <c r="C62" s="7"/>
      <c r="F62" s="7"/>
      <c r="G62" s="7"/>
      <c r="S62" s="7"/>
      <c r="T62" s="7"/>
    </row>
    <row r="63" spans="3:20" s="3" customFormat="1" x14ac:dyDescent="0.2">
      <c r="C63" s="7"/>
      <c r="F63" s="7"/>
      <c r="G63" s="7"/>
      <c r="S63" s="7"/>
      <c r="T63" s="7"/>
    </row>
    <row r="64" spans="3:20" s="3" customFormat="1" x14ac:dyDescent="0.2">
      <c r="C64" s="7"/>
      <c r="F64" s="7"/>
      <c r="G64" s="7"/>
      <c r="S64" s="7"/>
      <c r="T64" s="7"/>
    </row>
    <row r="65" spans="3:20" s="3" customFormat="1" x14ac:dyDescent="0.2">
      <c r="C65" s="7"/>
      <c r="F65" s="7"/>
      <c r="G65" s="7"/>
      <c r="S65" s="7"/>
      <c r="T65" s="7"/>
    </row>
    <row r="66" spans="3:20" s="3" customFormat="1" x14ac:dyDescent="0.2">
      <c r="C66" s="7"/>
      <c r="F66" s="7"/>
      <c r="G66" s="7"/>
      <c r="S66" s="7"/>
      <c r="T66" s="7"/>
    </row>
    <row r="67" spans="3:20" s="3" customFormat="1" x14ac:dyDescent="0.2">
      <c r="C67" s="7"/>
      <c r="F67" s="7"/>
      <c r="G67" s="7"/>
      <c r="S67" s="7"/>
      <c r="T67" s="7"/>
    </row>
    <row r="68" spans="3:20" s="3" customFormat="1" x14ac:dyDescent="0.2">
      <c r="C68" s="7"/>
      <c r="F68" s="7"/>
      <c r="G68" s="7"/>
      <c r="S68" s="7"/>
      <c r="T68" s="7"/>
    </row>
    <row r="69" spans="3:20" s="3" customFormat="1" x14ac:dyDescent="0.2">
      <c r="C69" s="7"/>
      <c r="F69" s="7"/>
      <c r="G69" s="7"/>
      <c r="S69" s="7"/>
      <c r="T69" s="7"/>
    </row>
    <row r="70" spans="3:20" s="3" customFormat="1" x14ac:dyDescent="0.2">
      <c r="C70" s="7"/>
      <c r="F70" s="7"/>
      <c r="G70" s="7"/>
      <c r="S70" s="7"/>
      <c r="T70" s="7"/>
    </row>
    <row r="71" spans="3:20" s="3" customFormat="1" x14ac:dyDescent="0.2">
      <c r="C71" s="7"/>
      <c r="F71" s="7"/>
      <c r="G71" s="7"/>
      <c r="S71" s="7"/>
      <c r="T71" s="7"/>
    </row>
    <row r="72" spans="3:20" s="3" customFormat="1" x14ac:dyDescent="0.2">
      <c r="C72" s="7"/>
      <c r="F72" s="7"/>
      <c r="G72" s="7"/>
      <c r="S72" s="7"/>
      <c r="T72" s="7"/>
    </row>
    <row r="73" spans="3:20" s="3" customFormat="1" x14ac:dyDescent="0.2">
      <c r="C73" s="7"/>
      <c r="F73" s="7"/>
      <c r="G73" s="7"/>
      <c r="S73" s="7"/>
      <c r="T73" s="7"/>
    </row>
    <row r="74" spans="3:20" s="3" customFormat="1" x14ac:dyDescent="0.2">
      <c r="C74" s="7"/>
      <c r="F74" s="7"/>
      <c r="G74" s="7"/>
      <c r="S74" s="7"/>
      <c r="T74" s="7"/>
    </row>
    <row r="75" spans="3:20" s="3" customFormat="1" x14ac:dyDescent="0.2">
      <c r="C75" s="7"/>
      <c r="F75" s="7"/>
      <c r="G75" s="7"/>
      <c r="S75" s="7"/>
      <c r="T75" s="7"/>
    </row>
    <row r="76" spans="3:20" s="3" customFormat="1" x14ac:dyDescent="0.2">
      <c r="C76" s="7"/>
      <c r="F76" s="7"/>
      <c r="G76" s="7"/>
      <c r="S76" s="7"/>
      <c r="T76" s="7"/>
    </row>
    <row r="77" spans="3:20" s="3" customFormat="1" x14ac:dyDescent="0.2">
      <c r="C77" s="7"/>
      <c r="F77" s="7"/>
      <c r="G77" s="7"/>
      <c r="S77" s="7"/>
      <c r="T77" s="7"/>
    </row>
    <row r="78" spans="3:20" s="3" customFormat="1" x14ac:dyDescent="0.2">
      <c r="C78" s="7"/>
      <c r="F78" s="7"/>
      <c r="G78" s="7"/>
      <c r="S78" s="7"/>
      <c r="T78" s="7"/>
    </row>
    <row r="79" spans="3:20" s="3" customFormat="1" x14ac:dyDescent="0.2">
      <c r="C79" s="7"/>
      <c r="F79" s="7"/>
      <c r="G79" s="7"/>
      <c r="S79" s="7"/>
      <c r="T79" s="7"/>
    </row>
    <row r="80" spans="3:20" s="3" customFormat="1" x14ac:dyDescent="0.2">
      <c r="C80" s="7"/>
      <c r="F80" s="7"/>
      <c r="G80" s="7"/>
      <c r="S80" s="7"/>
      <c r="T80" s="7"/>
    </row>
    <row r="81" spans="3:20" s="3" customFormat="1" x14ac:dyDescent="0.2">
      <c r="C81" s="7"/>
      <c r="F81" s="7"/>
      <c r="G81" s="7"/>
      <c r="S81" s="7"/>
      <c r="T81" s="7"/>
    </row>
    <row r="82" spans="3:20" s="3" customFormat="1" x14ac:dyDescent="0.2">
      <c r="C82" s="7"/>
      <c r="F82" s="7"/>
      <c r="G82" s="7"/>
      <c r="S82" s="7"/>
      <c r="T82" s="7"/>
    </row>
    <row r="83" spans="3:20" s="3" customFormat="1" x14ac:dyDescent="0.2">
      <c r="C83" s="7"/>
      <c r="F83" s="7"/>
      <c r="G83" s="7"/>
      <c r="S83" s="7"/>
      <c r="T83" s="7"/>
    </row>
    <row r="84" spans="3:20" s="3" customFormat="1" x14ac:dyDescent="0.2">
      <c r="C84" s="7"/>
      <c r="F84" s="7"/>
      <c r="G84" s="7"/>
      <c r="S84" s="7"/>
      <c r="T84" s="7"/>
    </row>
    <row r="85" spans="3:20" s="3" customFormat="1" x14ac:dyDescent="0.2">
      <c r="C85" s="7"/>
      <c r="F85" s="7"/>
      <c r="G85" s="7"/>
      <c r="S85" s="7"/>
      <c r="T85" s="7"/>
    </row>
    <row r="86" spans="3:20" s="3" customFormat="1" x14ac:dyDescent="0.2">
      <c r="C86" s="7"/>
      <c r="F86" s="7"/>
      <c r="G86" s="7"/>
      <c r="S86" s="7"/>
      <c r="T86" s="7"/>
    </row>
    <row r="87" spans="3:20" s="3" customFormat="1" x14ac:dyDescent="0.2">
      <c r="C87" s="7"/>
      <c r="F87" s="7"/>
      <c r="G87" s="7"/>
      <c r="S87" s="7"/>
      <c r="T87" s="7"/>
    </row>
    <row r="88" spans="3:20" s="3" customFormat="1" x14ac:dyDescent="0.2">
      <c r="C88" s="7"/>
      <c r="F88" s="7"/>
      <c r="G88" s="7"/>
      <c r="S88" s="7"/>
      <c r="T88" s="7"/>
    </row>
    <row r="89" spans="3:20" s="3" customFormat="1" x14ac:dyDescent="0.2">
      <c r="C89" s="7"/>
      <c r="F89" s="7"/>
      <c r="G89" s="7"/>
      <c r="S89" s="7"/>
      <c r="T89" s="7"/>
    </row>
  </sheetData>
  <autoFilter ref="J1:L3" xr:uid="{BA82577E-DB7C-2241-8C94-3BAD227AB728}"/>
  <conditionalFormatting sqref="J1:K1048576">
    <cfRule type="containsText" dxfId="14" priority="31" operator="containsText" text="Low">
      <formula>NOT(ISERROR(SEARCH("Low",J1)))</formula>
    </cfRule>
    <cfRule type="containsText" dxfId="13" priority="32" operator="containsText" text="Medium">
      <formula>NOT(ISERROR(SEARCH("Medium",J1)))</formula>
    </cfRule>
    <cfRule type="containsText" dxfId="12" priority="33" operator="containsText" text="High">
      <formula>NOT(ISERROR(SEARCH("High",J1)))</formula>
    </cfRule>
  </conditionalFormatting>
  <conditionalFormatting sqref="O2:R2">
    <cfRule type="colorScale" priority="27">
      <colorScale>
        <cfvo type="formula" val="Design"/>
        <cfvo type="formula" val="Inform"/>
        <cfvo type="formula" val="Systemic"/>
        <color theme="7"/>
        <color theme="9" tint="0.79998168889431442"/>
        <color theme="5"/>
      </colorScale>
    </cfRule>
  </conditionalFormatting>
  <conditionalFormatting sqref="O2:R20">
    <cfRule type="colorScale" priority="25">
      <colorScale>
        <cfvo type="formula" val="&quot;Distributional [D]&quot;"/>
        <cfvo type="formula" val="&quot;Interactional [I]&quot;"/>
        <cfvo type="formula" val="&quot;Systemic [S]&quot;"/>
        <color theme="4" tint="0.79998168889431442"/>
        <color theme="9" tint="0.79998168889431442"/>
        <color theme="5"/>
      </colorScale>
    </cfRule>
  </conditionalFormatting>
  <conditionalFormatting sqref="S1:S1048576">
    <cfRule type="cellIs" dxfId="11" priority="24" operator="equal">
      <formula>"NO"</formula>
    </cfRule>
  </conditionalFormatting>
  <conditionalFormatting sqref="M1:M5 M7:M1048576 L1:L1048576 V1:V1048576">
    <cfRule type="containsText" dxfId="10" priority="39" operator="containsText" text="Low">
      <formula>NOT(ISERROR(SEARCH("Low",L1)))</formula>
    </cfRule>
    <cfRule type="containsText" dxfId="9" priority="40" operator="containsText" text="Medium">
      <formula>NOT(ISERROR(SEARCH("Medium",L1)))</formula>
    </cfRule>
    <cfRule type="containsText" dxfId="8" priority="41" operator="containsText" text="High">
      <formula>NOT(ISERROR(SEARCH("High",L1)))</formula>
    </cfRule>
    <cfRule type="colorScale" priority="42">
      <colorScale>
        <cfvo type="formula" val="High"/>
        <cfvo type="formula" val="Medium"/>
        <cfvo type="formula" val="Low"/>
        <color rgb="FFFF7128"/>
        <color rgb="FFFFEB84"/>
        <color rgb="FFFFEF9C"/>
      </colorScale>
    </cfRule>
    <cfRule type="colorScale" priority="43">
      <colorScale>
        <cfvo type="min"/>
        <cfvo type="percentile" val="50"/>
        <cfvo type="max"/>
        <color rgb="FFF8696B"/>
        <color rgb="FFFFEB84"/>
        <color rgb="FF63BE7B"/>
      </colorScale>
    </cfRule>
  </conditionalFormatting>
  <conditionalFormatting sqref="B11:B1048576 B4:B9">
    <cfRule type="expression" dxfId="7" priority="2" stopIfTrue="1">
      <formula>$B5="Phase 1: Discovery &amp; Algorithm Development"</formula>
    </cfRule>
    <cfRule type="expression" dxfId="6" priority="7" stopIfTrue="1">
      <formula>$B5="Phase 3: Clinical Investigation or Deployment"</formula>
    </cfRule>
    <cfRule type="expression" dxfId="5" priority="8" stopIfTrue="1">
      <formula>$B5="Phase 2: Validation (Prospective or Synthetic Validation)"</formula>
    </cfRule>
    <cfRule type="expression" dxfId="4" priority="9" stopIfTrue="1">
      <formula>$B5="Phase 1: Discovery &amp; Algorithm Development"</formula>
    </cfRule>
  </conditionalFormatting>
  <conditionalFormatting sqref="B10">
    <cfRule type="expression" dxfId="3" priority="3" stopIfTrue="1">
      <formula>$B2="Phase 3: Clinical Investigation or Deployment"</formula>
    </cfRule>
    <cfRule type="expression" dxfId="2" priority="4" stopIfTrue="1">
      <formula>$B2="Phase 2: Validation (Prospective or Synthetic Validation)"</formula>
    </cfRule>
    <cfRule type="expression" dxfId="1" priority="5" stopIfTrue="1">
      <formula>$B2="Phase 1: Discovery &amp; Algorithm Development"</formula>
    </cfRule>
  </conditionalFormatting>
  <conditionalFormatting sqref="B2:B3">
    <cfRule type="expression" dxfId="0" priority="1">
      <formula>$B2="Phase 1: Discovery &amp; Algorithm Development"</formula>
    </cfRule>
  </conditionalFormatting>
  <dataValidations count="3">
    <dataValidation type="list" allowBlank="1" showInputMessage="1" showErrorMessage="1" sqref="C1:C1048576" xr:uid="{8E938847-932E-D545-B766-1DE25337667E}">
      <formula1>RiskDomains</formula1>
    </dataValidation>
    <dataValidation allowBlank="1" showInputMessage="1" showErrorMessage="1" promptTitle="ISO Concept" prompt="This is an ISO concept. Residual Risk Consideration helps IRBs evaluate whether risks are appropriately acknowledged, even if not eliminated." sqref="S1:T1" xr:uid="{A0D07863-4944-C444-939D-386D1C0B21B8}"/>
    <dataValidation type="list" allowBlank="1" showInputMessage="1" showErrorMessage="1" sqref="N1:N1048576" xr:uid="{2918D96A-FB96-5846-9609-25C0DFFD8F0A}">
      <formula1>#REF!</formula1>
    </dataValidation>
  </dataValidations>
  <pageMargins left="0.7" right="0.7" top="0.75" bottom="0.75" header="0.3" footer="0.3"/>
  <pageSetup scale="19" orientation="landscape" horizontalDpi="0" verticalDpi="0"/>
  <extLst>
    <ext xmlns:x14="http://schemas.microsoft.com/office/spreadsheetml/2009/9/main" uri="{CCE6A557-97BC-4b89-ADB6-D9C93CAAB3DF}">
      <x14:dataValidations xmlns:xm="http://schemas.microsoft.com/office/excel/2006/main" count="11">
        <x14:dataValidation type="list" allowBlank="1" showInputMessage="1" showErrorMessage="1" xr:uid="{20B1D8D0-904D-0941-AC14-550D330D2672}">
          <x14:formula1>
            <xm:f>DropdownValues!$E$2:$E$4</xm:f>
          </x14:formula1>
          <xm:sqref>O2:O20</xm:sqref>
        </x14:dataValidation>
        <x14:dataValidation type="list" allowBlank="1" showInputMessage="1" showErrorMessage="1" xr:uid="{0D158C40-B74D-2343-95FC-F423C75339B9}">
          <x14:formula1>
            <xm:f>DropdownValues!$G$2:$G$4</xm:f>
          </x14:formula1>
          <xm:sqref>P2:P20</xm:sqref>
        </x14:dataValidation>
        <x14:dataValidation type="list" allowBlank="1" showInputMessage="1" showErrorMessage="1" xr:uid="{36D384D6-0BF5-D84A-96F1-10C5D4CF7A61}">
          <x14:formula1>
            <xm:f>DropdownValues!$H$2:$H$4</xm:f>
          </x14:formula1>
          <xm:sqref>Q2:Q20</xm:sqref>
        </x14:dataValidation>
        <x14:dataValidation type="list" allowBlank="1" showInputMessage="1" showErrorMessage="1" xr:uid="{3675F595-591D-EC4E-8EBE-1AE075CC53E6}">
          <x14:formula1>
            <xm:f>DropdownValues!$I$2:$I$4</xm:f>
          </x14:formula1>
          <xm:sqref>R2:R20</xm:sqref>
        </x14:dataValidation>
        <x14:dataValidation type="list" allowBlank="1" showInputMessage="1" showErrorMessage="1" xr:uid="{CBF8B249-85CA-5149-92CA-6972B86C04E3}">
          <x14:formula1>
            <xm:f>DropdownValues!$J$2:$J$25</xm:f>
          </x14:formula1>
          <xm:sqref>D2:D20</xm:sqref>
        </x14:dataValidation>
        <x14:dataValidation type="list" allowBlank="1" showInputMessage="1" showErrorMessage="1" xr:uid="{D1096998-947A-2C4A-8F3F-B8543C7FE3DA}">
          <x14:formula1>
            <xm:f>DropdownValues!$F$2:$F$4</xm:f>
          </x14:formula1>
          <xm:sqref>J1:L1048576</xm:sqref>
        </x14:dataValidation>
        <x14:dataValidation type="list" allowBlank="1" showInputMessage="1" showErrorMessage="1" xr:uid="{15839E3D-CB18-CD4E-A1A6-7BDB184071C3}">
          <x14:formula1>
            <xm:f>DropdownValues!$A$2:$A$15</xm:f>
          </x14:formula1>
          <xm:sqref>G1:G1048576</xm:sqref>
        </x14:dataValidation>
        <x14:dataValidation type="list" allowBlank="1" showInputMessage="1" showErrorMessage="1" xr:uid="{6301D02D-99B6-6A46-A2C9-3D3EC932D4E9}">
          <x14:formula1>
            <xm:f>DropdownValues!$B$2:$B$12</xm:f>
          </x14:formula1>
          <xm:sqref>F1:F1048576</xm:sqref>
        </x14:dataValidation>
        <x14:dataValidation type="list" allowBlank="1" showInputMessage="1" showErrorMessage="1" xr:uid="{93E7CD9B-0501-2E4C-BDD2-8BC2F82EF7CB}">
          <x14:formula1>
            <xm:f>DropdownValues!$C$2:$C$8</xm:f>
          </x14:formula1>
          <xm:sqref>D84:D1048576</xm:sqref>
        </x14:dataValidation>
        <x14:dataValidation type="list" allowBlank="1" showInputMessage="1" showErrorMessage="1" xr:uid="{01E3F724-0785-C040-BB59-E89BD1CA69A4}">
          <x14:formula1>
            <xm:f>DropdownValues!$L$2:$L$4</xm:f>
          </x14:formula1>
          <xm:sqref>B3:B20 B2</xm:sqref>
        </x14:dataValidation>
        <x14:dataValidation type="list" allowBlank="1" showInputMessage="1" showErrorMessage="1" xr:uid="{4B6259BF-285B-0340-AAD7-A7FB4A6B63B0}">
          <x14:formula1>
            <xm:f>DropdownValues!$D$2:$D$28</xm:f>
          </x14:formula1>
          <xm:sqref>V2:V20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83CFE-F536-7947-BEE9-73988FB07B31}">
  <sheetPr codeName="Sheet4">
    <pageSetUpPr fitToPage="1"/>
  </sheetPr>
  <dimension ref="A1:N61"/>
  <sheetViews>
    <sheetView showGridLines="0" zoomScale="80" zoomScaleNormal="80" workbookViewId="0">
      <pane ySplit="1" topLeftCell="A6" activePane="bottomLeft" state="frozen"/>
      <selection pane="bottomLeft" activeCell="C10" sqref="C10"/>
    </sheetView>
  </sheetViews>
  <sheetFormatPr baseColWidth="10" defaultColWidth="70" defaultRowHeight="20" x14ac:dyDescent="0.2"/>
  <cols>
    <col min="1" max="1" width="46.5" style="4" customWidth="1"/>
    <col min="2" max="2" width="40" style="175" customWidth="1"/>
    <col min="3" max="3" width="46.6640625" style="123" customWidth="1"/>
    <col min="4" max="4" width="148.6640625" style="4" customWidth="1"/>
    <col min="5" max="5" width="33.33203125" style="123" customWidth="1"/>
    <col min="6" max="6" width="29.83203125" style="175" customWidth="1"/>
    <col min="7" max="7" width="32.5" style="175" customWidth="1"/>
    <col min="8" max="8" width="33.5" style="175" customWidth="1"/>
    <col min="9" max="9" width="36" style="175" customWidth="1"/>
    <col min="10" max="10" width="70" style="4"/>
    <col min="11" max="11" width="52" style="5" customWidth="1"/>
    <col min="12" max="12" width="39.83203125" style="123" customWidth="1"/>
    <col min="13" max="13" width="70" style="5"/>
    <col min="14" max="14" width="70" style="4"/>
    <col min="15" max="16384" width="70" style="5"/>
  </cols>
  <sheetData>
    <row r="1" spans="1:14" s="123" customFormat="1" ht="93" customHeight="1" thickBot="1" x14ac:dyDescent="0.25">
      <c r="A1" s="45" t="s">
        <v>40</v>
      </c>
      <c r="B1" s="45" t="s">
        <v>41</v>
      </c>
      <c r="C1" s="45" t="s">
        <v>1</v>
      </c>
      <c r="D1" s="45" t="s">
        <v>717</v>
      </c>
      <c r="E1" s="45" t="s">
        <v>9</v>
      </c>
      <c r="F1" s="45" t="s">
        <v>7</v>
      </c>
      <c r="G1" s="45" t="s">
        <v>109</v>
      </c>
      <c r="H1" s="45" t="s">
        <v>114</v>
      </c>
      <c r="I1" s="45" t="s">
        <v>119</v>
      </c>
      <c r="J1" s="45" t="s">
        <v>376</v>
      </c>
      <c r="K1" s="45" t="s">
        <v>377</v>
      </c>
      <c r="L1" s="45" t="s">
        <v>163</v>
      </c>
      <c r="M1" s="45" t="s">
        <v>599</v>
      </c>
      <c r="N1" s="45" t="s">
        <v>536</v>
      </c>
    </row>
    <row r="2" spans="1:14" ht="252" x14ac:dyDescent="0.2">
      <c r="A2" s="28" t="s">
        <v>282</v>
      </c>
      <c r="B2" s="170" t="s">
        <v>38</v>
      </c>
      <c r="C2" s="171" t="s">
        <v>44</v>
      </c>
      <c r="D2" s="28" t="s">
        <v>956</v>
      </c>
      <c r="E2" s="171" t="s">
        <v>56</v>
      </c>
      <c r="F2" s="170" t="s">
        <v>14</v>
      </c>
      <c r="G2" s="171" t="s">
        <v>110</v>
      </c>
      <c r="H2" s="171" t="s">
        <v>115</v>
      </c>
      <c r="I2" s="171" t="s">
        <v>120</v>
      </c>
      <c r="J2" s="28" t="s">
        <v>957</v>
      </c>
      <c r="K2" s="28" t="s">
        <v>958</v>
      </c>
      <c r="L2" s="171" t="s">
        <v>164</v>
      </c>
      <c r="M2" s="159" t="s">
        <v>959</v>
      </c>
      <c r="N2" s="28" t="s">
        <v>568</v>
      </c>
    </row>
    <row r="3" spans="1:14" ht="147" x14ac:dyDescent="0.2">
      <c r="A3" s="28" t="s">
        <v>285</v>
      </c>
      <c r="B3" s="170" t="s">
        <v>53</v>
      </c>
      <c r="C3" s="171" t="s">
        <v>45</v>
      </c>
      <c r="D3" s="172" t="s">
        <v>854</v>
      </c>
      <c r="E3" s="171" t="s">
        <v>57</v>
      </c>
      <c r="F3" s="170" t="s">
        <v>23</v>
      </c>
      <c r="G3" s="171" t="s">
        <v>111</v>
      </c>
      <c r="H3" s="171" t="s">
        <v>116</v>
      </c>
      <c r="I3" s="171" t="s">
        <v>121</v>
      </c>
      <c r="J3" s="28" t="s">
        <v>960</v>
      </c>
      <c r="K3" s="173" t="s">
        <v>162</v>
      </c>
      <c r="L3" s="171" t="s">
        <v>165</v>
      </c>
      <c r="M3" s="162" t="s">
        <v>961</v>
      </c>
      <c r="N3" s="28" t="s">
        <v>567</v>
      </c>
    </row>
    <row r="4" spans="1:14" ht="378" x14ac:dyDescent="0.2">
      <c r="A4" s="28" t="s">
        <v>286</v>
      </c>
      <c r="B4" s="170" t="s">
        <v>42</v>
      </c>
      <c r="C4" s="171" t="s">
        <v>46</v>
      </c>
      <c r="D4" s="172" t="s">
        <v>856</v>
      </c>
      <c r="E4" s="171" t="s">
        <v>58</v>
      </c>
      <c r="F4" s="170" t="s">
        <v>50</v>
      </c>
      <c r="G4" s="171" t="s">
        <v>112</v>
      </c>
      <c r="H4" s="171" t="s">
        <v>112</v>
      </c>
      <c r="I4" s="171" t="s">
        <v>112</v>
      </c>
      <c r="J4" s="28" t="s">
        <v>962</v>
      </c>
      <c r="K4" s="28" t="s">
        <v>963</v>
      </c>
      <c r="L4" s="171" t="s">
        <v>166</v>
      </c>
      <c r="M4" s="162" t="s">
        <v>964</v>
      </c>
      <c r="N4" s="28" t="s">
        <v>566</v>
      </c>
    </row>
    <row r="5" spans="1:14" ht="315" x14ac:dyDescent="0.2">
      <c r="A5" s="28" t="s">
        <v>283</v>
      </c>
      <c r="B5" s="170" t="s">
        <v>43</v>
      </c>
      <c r="C5" s="171" t="s">
        <v>47</v>
      </c>
      <c r="D5" s="28" t="s">
        <v>858</v>
      </c>
      <c r="E5" s="171"/>
      <c r="F5" s="170"/>
      <c r="G5" s="170"/>
      <c r="H5" s="170"/>
      <c r="I5" s="170"/>
      <c r="J5" s="28" t="s">
        <v>965</v>
      </c>
      <c r="K5" s="174" t="s">
        <v>144</v>
      </c>
      <c r="L5" s="171"/>
      <c r="M5" s="162" t="s">
        <v>966</v>
      </c>
      <c r="N5" s="28" t="s">
        <v>565</v>
      </c>
    </row>
    <row r="6" spans="1:14" ht="168" x14ac:dyDescent="0.2">
      <c r="A6" s="28" t="s">
        <v>284</v>
      </c>
      <c r="B6" s="171" t="s">
        <v>66</v>
      </c>
      <c r="C6" s="171" t="s">
        <v>48</v>
      </c>
      <c r="D6" s="172" t="s">
        <v>860</v>
      </c>
      <c r="E6" s="171"/>
      <c r="F6" s="170"/>
      <c r="G6" s="170"/>
      <c r="H6" s="170"/>
      <c r="I6" s="170"/>
      <c r="J6" s="28" t="s">
        <v>967</v>
      </c>
      <c r="K6" s="174" t="s">
        <v>378</v>
      </c>
      <c r="L6" s="171"/>
      <c r="M6" s="162" t="s">
        <v>968</v>
      </c>
      <c r="N6" s="28" t="s">
        <v>564</v>
      </c>
    </row>
    <row r="7" spans="1:14" ht="126" x14ac:dyDescent="0.2">
      <c r="A7" s="28" t="s">
        <v>290</v>
      </c>
      <c r="B7" s="171" t="s">
        <v>67</v>
      </c>
      <c r="C7" s="171" t="s">
        <v>122</v>
      </c>
      <c r="D7" s="28" t="s">
        <v>862</v>
      </c>
      <c r="E7" s="171"/>
      <c r="F7" s="170"/>
      <c r="G7" s="170"/>
      <c r="H7" s="170"/>
      <c r="I7" s="170"/>
      <c r="J7" s="28" t="s">
        <v>969</v>
      </c>
      <c r="K7" s="174" t="s">
        <v>145</v>
      </c>
      <c r="L7" s="171"/>
      <c r="M7" s="162" t="s">
        <v>970</v>
      </c>
      <c r="N7" s="28" t="s">
        <v>563</v>
      </c>
    </row>
    <row r="8" spans="1:14" ht="168" x14ac:dyDescent="0.2">
      <c r="A8" s="28" t="s">
        <v>287</v>
      </c>
      <c r="B8" s="171" t="s">
        <v>68</v>
      </c>
      <c r="C8" s="171" t="s">
        <v>49</v>
      </c>
      <c r="D8" s="28" t="s">
        <v>864</v>
      </c>
      <c r="E8" s="171"/>
      <c r="F8" s="170"/>
      <c r="G8" s="170"/>
      <c r="H8" s="170"/>
      <c r="I8" s="170"/>
      <c r="J8" s="28" t="s">
        <v>971</v>
      </c>
      <c r="K8" s="174" t="s">
        <v>146</v>
      </c>
      <c r="L8" s="171"/>
      <c r="M8" s="162" t="s">
        <v>972</v>
      </c>
      <c r="N8" s="28" t="s">
        <v>562</v>
      </c>
    </row>
    <row r="9" spans="1:14" ht="147" x14ac:dyDescent="0.2">
      <c r="A9" s="28" t="s">
        <v>291</v>
      </c>
      <c r="B9" s="171" t="s">
        <v>69</v>
      </c>
      <c r="C9" s="171"/>
      <c r="D9" s="172" t="s">
        <v>866</v>
      </c>
      <c r="E9" s="171"/>
      <c r="F9" s="170"/>
      <c r="G9" s="170"/>
      <c r="H9" s="170"/>
      <c r="I9" s="170"/>
      <c r="J9" s="28" t="s">
        <v>973</v>
      </c>
      <c r="K9" s="173" t="s">
        <v>147</v>
      </c>
      <c r="L9" s="171"/>
      <c r="M9" s="162" t="s">
        <v>974</v>
      </c>
      <c r="N9" s="28" t="s">
        <v>561</v>
      </c>
    </row>
    <row r="10" spans="1:14" ht="126" x14ac:dyDescent="0.2">
      <c r="A10" s="28" t="s">
        <v>288</v>
      </c>
      <c r="B10" s="170" t="s">
        <v>54</v>
      </c>
      <c r="C10" s="171"/>
      <c r="D10" s="172" t="s">
        <v>868</v>
      </c>
      <c r="E10" s="171"/>
      <c r="F10" s="170"/>
      <c r="G10" s="170"/>
      <c r="H10" s="170"/>
      <c r="I10" s="170"/>
      <c r="J10" s="28" t="s">
        <v>134</v>
      </c>
      <c r="K10" s="174" t="s">
        <v>148</v>
      </c>
      <c r="L10" s="171"/>
      <c r="M10" s="162" t="s">
        <v>975</v>
      </c>
      <c r="N10" s="28" t="s">
        <v>560</v>
      </c>
    </row>
    <row r="11" spans="1:14" ht="126" x14ac:dyDescent="0.2">
      <c r="A11" s="28" t="s">
        <v>289</v>
      </c>
      <c r="B11" s="170" t="s">
        <v>39</v>
      </c>
      <c r="C11" s="171"/>
      <c r="D11" s="172" t="s">
        <v>870</v>
      </c>
      <c r="E11" s="171"/>
      <c r="F11" s="170"/>
      <c r="G11" s="170"/>
      <c r="H11" s="170"/>
      <c r="I11" s="170"/>
      <c r="J11" s="28" t="s">
        <v>976</v>
      </c>
      <c r="K11" s="174" t="s">
        <v>149</v>
      </c>
      <c r="L11" s="171"/>
      <c r="M11" s="162" t="s">
        <v>977</v>
      </c>
      <c r="N11" s="28" t="s">
        <v>559</v>
      </c>
    </row>
    <row r="12" spans="1:14" ht="147" x14ac:dyDescent="0.2">
      <c r="A12" s="28" t="s">
        <v>292</v>
      </c>
      <c r="B12" s="171" t="s">
        <v>497</v>
      </c>
      <c r="C12" s="171"/>
      <c r="D12" s="172" t="s">
        <v>872</v>
      </c>
      <c r="E12" s="171"/>
      <c r="F12" s="170"/>
      <c r="G12" s="170"/>
      <c r="H12" s="170"/>
      <c r="I12" s="170"/>
      <c r="J12" s="28" t="s">
        <v>978</v>
      </c>
      <c r="K12" s="173" t="s">
        <v>150</v>
      </c>
      <c r="L12" s="171"/>
      <c r="M12" s="162" t="s">
        <v>979</v>
      </c>
      <c r="N12" s="28" t="s">
        <v>558</v>
      </c>
    </row>
    <row r="13" spans="1:14" ht="336" x14ac:dyDescent="0.2">
      <c r="A13" s="28" t="s">
        <v>293</v>
      </c>
      <c r="B13" s="170"/>
      <c r="C13" s="171"/>
      <c r="D13" s="28" t="s">
        <v>1029</v>
      </c>
      <c r="E13" s="171"/>
      <c r="F13" s="170"/>
      <c r="G13" s="170"/>
      <c r="H13" s="170"/>
      <c r="I13" s="170"/>
      <c r="J13" s="28" t="s">
        <v>980</v>
      </c>
      <c r="K13" s="173" t="s">
        <v>151</v>
      </c>
      <c r="L13" s="171"/>
      <c r="M13" s="162" t="s">
        <v>981</v>
      </c>
      <c r="N13" s="28" t="s">
        <v>557</v>
      </c>
    </row>
    <row r="14" spans="1:14" ht="126" x14ac:dyDescent="0.2">
      <c r="A14" s="28" t="s">
        <v>294</v>
      </c>
      <c r="B14" s="170"/>
      <c r="C14" s="171"/>
      <c r="D14" s="172" t="s">
        <v>876</v>
      </c>
      <c r="E14" s="171"/>
      <c r="F14" s="170"/>
      <c r="G14" s="170"/>
      <c r="H14" s="170"/>
      <c r="I14" s="170"/>
      <c r="J14" s="28" t="s">
        <v>982</v>
      </c>
      <c r="K14" s="173" t="s">
        <v>152</v>
      </c>
      <c r="L14" s="171"/>
      <c r="M14" s="162" t="s">
        <v>983</v>
      </c>
      <c r="N14" s="28" t="s">
        <v>556</v>
      </c>
    </row>
    <row r="15" spans="1:14" ht="126" x14ac:dyDescent="0.2">
      <c r="A15" s="28" t="s">
        <v>295</v>
      </c>
      <c r="B15" s="170"/>
      <c r="C15" s="171"/>
      <c r="D15" s="172" t="s">
        <v>878</v>
      </c>
      <c r="E15" s="171"/>
      <c r="F15" s="170"/>
      <c r="G15" s="170"/>
      <c r="H15" s="170"/>
      <c r="I15" s="170"/>
      <c r="J15" s="28" t="s">
        <v>135</v>
      </c>
      <c r="K15" s="173" t="s">
        <v>153</v>
      </c>
      <c r="L15" s="171"/>
      <c r="M15" s="162" t="s">
        <v>984</v>
      </c>
      <c r="N15" s="28" t="s">
        <v>555</v>
      </c>
    </row>
    <row r="16" spans="1:14" ht="126" x14ac:dyDescent="0.2">
      <c r="A16" s="28"/>
      <c r="B16" s="170"/>
      <c r="C16" s="171"/>
      <c r="D16" s="172" t="s">
        <v>880</v>
      </c>
      <c r="E16" s="171"/>
      <c r="F16" s="170"/>
      <c r="G16" s="170"/>
      <c r="H16" s="170"/>
      <c r="I16" s="170"/>
      <c r="J16" s="28" t="s">
        <v>136</v>
      </c>
      <c r="K16" s="174" t="s">
        <v>154</v>
      </c>
      <c r="L16" s="171"/>
      <c r="M16" s="162" t="s">
        <v>985</v>
      </c>
      <c r="N16" s="28" t="s">
        <v>554</v>
      </c>
    </row>
    <row r="17" spans="1:14" ht="273" x14ac:dyDescent="0.2">
      <c r="A17" s="28"/>
      <c r="B17" s="170"/>
      <c r="C17" s="171"/>
      <c r="D17" s="172" t="s">
        <v>882</v>
      </c>
      <c r="E17" s="171"/>
      <c r="F17" s="170"/>
      <c r="G17" s="170"/>
      <c r="H17" s="170"/>
      <c r="I17" s="170"/>
      <c r="J17" s="28" t="s">
        <v>137</v>
      </c>
      <c r="K17" s="173" t="s">
        <v>155</v>
      </c>
      <c r="L17" s="171"/>
      <c r="M17" s="162" t="s">
        <v>938</v>
      </c>
      <c r="N17" s="28" t="s">
        <v>553</v>
      </c>
    </row>
    <row r="18" spans="1:14" ht="126" x14ac:dyDescent="0.2">
      <c r="A18" s="28"/>
      <c r="B18" s="170"/>
      <c r="C18" s="171"/>
      <c r="D18" s="172" t="s">
        <v>884</v>
      </c>
      <c r="E18" s="171"/>
      <c r="F18" s="170"/>
      <c r="G18" s="170"/>
      <c r="H18" s="170"/>
      <c r="I18" s="170"/>
      <c r="J18" s="28" t="s">
        <v>138</v>
      </c>
      <c r="K18" s="173" t="s">
        <v>156</v>
      </c>
      <c r="L18" s="171"/>
      <c r="M18" s="162" t="s">
        <v>986</v>
      </c>
      <c r="N18" s="28" t="s">
        <v>552</v>
      </c>
    </row>
    <row r="19" spans="1:14" ht="126" x14ac:dyDescent="0.2">
      <c r="A19" s="28"/>
      <c r="B19" s="170"/>
      <c r="C19" s="171"/>
      <c r="D19" s="172" t="s">
        <v>886</v>
      </c>
      <c r="E19" s="171"/>
      <c r="F19" s="170"/>
      <c r="G19" s="170"/>
      <c r="H19" s="170"/>
      <c r="I19" s="170"/>
      <c r="J19" s="28" t="s">
        <v>987</v>
      </c>
      <c r="K19" s="173" t="s">
        <v>157</v>
      </c>
      <c r="L19" s="171"/>
      <c r="M19" s="162" t="s">
        <v>988</v>
      </c>
      <c r="N19" s="28" t="s">
        <v>551</v>
      </c>
    </row>
    <row r="20" spans="1:14" ht="189" x14ac:dyDescent="0.2">
      <c r="A20" s="28"/>
      <c r="B20" s="170"/>
      <c r="C20" s="171"/>
      <c r="D20" s="28" t="s">
        <v>888</v>
      </c>
      <c r="E20" s="171"/>
      <c r="F20" s="170"/>
      <c r="G20" s="170"/>
      <c r="H20" s="170"/>
      <c r="I20" s="170"/>
      <c r="J20" s="28" t="s">
        <v>139</v>
      </c>
      <c r="K20" s="28" t="s">
        <v>989</v>
      </c>
      <c r="L20" s="171"/>
      <c r="M20" s="162" t="s">
        <v>990</v>
      </c>
      <c r="N20" s="28" t="s">
        <v>550</v>
      </c>
    </row>
    <row r="21" spans="1:14" ht="273" x14ac:dyDescent="0.2">
      <c r="A21" s="28"/>
      <c r="B21" s="170"/>
      <c r="C21" s="171"/>
      <c r="D21" s="172" t="s">
        <v>890</v>
      </c>
      <c r="E21" s="171"/>
      <c r="F21" s="170"/>
      <c r="G21" s="170"/>
      <c r="H21" s="170"/>
      <c r="I21" s="170"/>
      <c r="J21" s="28" t="s">
        <v>140</v>
      </c>
      <c r="K21" s="174" t="s">
        <v>158</v>
      </c>
      <c r="L21" s="171"/>
      <c r="M21" s="162" t="s">
        <v>991</v>
      </c>
      <c r="N21" s="28" t="s">
        <v>549</v>
      </c>
    </row>
    <row r="22" spans="1:14" ht="148" thickBot="1" x14ac:dyDescent="0.25">
      <c r="A22" s="28"/>
      <c r="B22" s="170"/>
      <c r="C22" s="171"/>
      <c r="D22" s="172" t="s">
        <v>892</v>
      </c>
      <c r="E22" s="171"/>
      <c r="F22" s="170"/>
      <c r="G22" s="170"/>
      <c r="H22" s="170"/>
      <c r="I22" s="170"/>
      <c r="J22" s="28" t="s">
        <v>52</v>
      </c>
      <c r="K22" s="174" t="s">
        <v>159</v>
      </c>
      <c r="L22" s="171"/>
      <c r="M22" s="162" t="s">
        <v>953</v>
      </c>
      <c r="N22" s="28" t="s">
        <v>548</v>
      </c>
    </row>
    <row r="23" spans="1:14" ht="252" x14ac:dyDescent="0.2">
      <c r="A23" s="28"/>
      <c r="B23" s="170"/>
      <c r="C23" s="171"/>
      <c r="D23" s="28" t="s">
        <v>852</v>
      </c>
      <c r="E23" s="171"/>
      <c r="F23" s="170"/>
      <c r="G23" s="170"/>
      <c r="H23" s="170"/>
      <c r="I23" s="170"/>
      <c r="J23" s="28" t="s">
        <v>992</v>
      </c>
      <c r="K23" s="174" t="s">
        <v>160</v>
      </c>
      <c r="L23" s="171"/>
      <c r="M23" s="160" t="s">
        <v>993</v>
      </c>
      <c r="N23" s="28" t="s">
        <v>547</v>
      </c>
    </row>
    <row r="24" spans="1:14" ht="189" x14ac:dyDescent="0.2">
      <c r="A24" s="28"/>
      <c r="B24" s="170"/>
      <c r="C24" s="171"/>
      <c r="D24" s="172" t="s">
        <v>854</v>
      </c>
      <c r="E24" s="171"/>
      <c r="F24" s="170"/>
      <c r="G24" s="170"/>
      <c r="H24" s="170"/>
      <c r="I24" s="170"/>
      <c r="J24" s="28" t="s">
        <v>141</v>
      </c>
      <c r="K24" s="174" t="s">
        <v>161</v>
      </c>
      <c r="L24" s="171"/>
      <c r="M24" s="163" t="s">
        <v>994</v>
      </c>
      <c r="N24" s="28" t="s">
        <v>546</v>
      </c>
    </row>
    <row r="25" spans="1:14" ht="378" x14ac:dyDescent="0.2">
      <c r="A25" s="28"/>
      <c r="B25" s="170"/>
      <c r="C25" s="171" t="s">
        <v>620</v>
      </c>
      <c r="D25" s="172" t="s">
        <v>856</v>
      </c>
      <c r="E25" s="171"/>
      <c r="F25" s="170"/>
      <c r="G25" s="170"/>
      <c r="H25" s="170"/>
      <c r="I25" s="170"/>
      <c r="J25" s="28" t="s">
        <v>995</v>
      </c>
      <c r="K25" s="28" t="s">
        <v>600</v>
      </c>
      <c r="L25" s="171"/>
      <c r="M25" s="163" t="s">
        <v>996</v>
      </c>
      <c r="N25" s="28" t="s">
        <v>545</v>
      </c>
    </row>
    <row r="26" spans="1:14" ht="315" x14ac:dyDescent="0.2">
      <c r="A26" s="28"/>
      <c r="B26" s="170"/>
      <c r="C26" s="171"/>
      <c r="D26" s="28" t="s">
        <v>858</v>
      </c>
      <c r="E26" s="171"/>
      <c r="F26" s="170"/>
      <c r="G26" s="170"/>
      <c r="H26" s="170"/>
      <c r="I26" s="170"/>
      <c r="J26" s="28"/>
      <c r="K26" s="174"/>
      <c r="L26" s="171"/>
      <c r="M26" s="163" t="s">
        <v>997</v>
      </c>
      <c r="N26" s="28" t="s">
        <v>544</v>
      </c>
    </row>
    <row r="27" spans="1:14" ht="168" x14ac:dyDescent="0.2">
      <c r="A27" s="28"/>
      <c r="B27" s="170"/>
      <c r="C27" s="171"/>
      <c r="D27" s="172" t="s">
        <v>860</v>
      </c>
      <c r="E27" s="171"/>
      <c r="F27" s="170"/>
      <c r="G27" s="170"/>
      <c r="H27" s="170"/>
      <c r="I27" s="170"/>
      <c r="J27" s="28"/>
      <c r="K27" s="174"/>
      <c r="L27" s="171"/>
      <c r="M27" s="163" t="s">
        <v>998</v>
      </c>
      <c r="N27" s="28" t="s">
        <v>543</v>
      </c>
    </row>
    <row r="28" spans="1:14" ht="168" x14ac:dyDescent="0.2">
      <c r="A28" s="28"/>
      <c r="B28" s="170"/>
      <c r="C28" s="171"/>
      <c r="D28" s="28" t="s">
        <v>862</v>
      </c>
      <c r="E28" s="171"/>
      <c r="F28" s="170"/>
      <c r="G28" s="170"/>
      <c r="H28" s="170"/>
      <c r="I28" s="170"/>
      <c r="J28" s="28"/>
      <c r="K28" s="174"/>
      <c r="L28" s="171"/>
      <c r="M28" s="163" t="s">
        <v>999</v>
      </c>
      <c r="N28" s="28" t="s">
        <v>542</v>
      </c>
    </row>
    <row r="29" spans="1:14" ht="126" x14ac:dyDescent="0.2">
      <c r="A29" s="28"/>
      <c r="B29" s="170"/>
      <c r="C29" s="171"/>
      <c r="D29" s="28" t="s">
        <v>864</v>
      </c>
      <c r="E29" s="171"/>
      <c r="F29" s="170"/>
      <c r="G29" s="170"/>
      <c r="H29" s="170"/>
      <c r="I29" s="170"/>
      <c r="J29" s="28"/>
      <c r="K29" s="174"/>
      <c r="L29" s="171"/>
      <c r="M29" s="163" t="s">
        <v>1000</v>
      </c>
      <c r="N29" s="28" t="s">
        <v>541</v>
      </c>
    </row>
    <row r="30" spans="1:14" ht="147" x14ac:dyDescent="0.2">
      <c r="A30" s="28"/>
      <c r="B30" s="170"/>
      <c r="C30" s="171"/>
      <c r="D30" s="172" t="s">
        <v>866</v>
      </c>
      <c r="E30" s="171"/>
      <c r="F30" s="170"/>
      <c r="G30" s="170"/>
      <c r="H30" s="170"/>
      <c r="I30" s="170"/>
      <c r="J30" s="28"/>
      <c r="K30" s="174"/>
      <c r="L30" s="171"/>
      <c r="M30" s="163" t="s">
        <v>1001</v>
      </c>
      <c r="N30" s="28" t="s">
        <v>540</v>
      </c>
    </row>
    <row r="31" spans="1:14" ht="126" x14ac:dyDescent="0.2">
      <c r="A31" s="28"/>
      <c r="B31" s="170"/>
      <c r="C31" s="171"/>
      <c r="D31" s="172" t="s">
        <v>868</v>
      </c>
      <c r="E31" s="171"/>
      <c r="F31" s="170"/>
      <c r="G31" s="170"/>
      <c r="H31" s="170"/>
      <c r="I31" s="170"/>
      <c r="J31" s="28"/>
      <c r="K31" s="174"/>
      <c r="L31" s="171"/>
      <c r="M31" s="163" t="s">
        <v>1002</v>
      </c>
      <c r="N31" s="28" t="s">
        <v>537</v>
      </c>
    </row>
    <row r="32" spans="1:14" ht="147" x14ac:dyDescent="0.2">
      <c r="A32" s="28"/>
      <c r="B32" s="170"/>
      <c r="C32" s="171"/>
      <c r="D32" s="172" t="s">
        <v>870</v>
      </c>
      <c r="E32" s="171"/>
      <c r="F32" s="170"/>
      <c r="G32" s="170"/>
      <c r="H32" s="170"/>
      <c r="I32" s="170"/>
      <c r="J32" s="28"/>
      <c r="K32" s="174"/>
      <c r="L32" s="171"/>
      <c r="M32" s="163" t="s">
        <v>1003</v>
      </c>
      <c r="N32" s="28" t="s">
        <v>538</v>
      </c>
    </row>
    <row r="33" spans="1:14" ht="147" x14ac:dyDescent="0.2">
      <c r="A33" s="28"/>
      <c r="B33" s="170"/>
      <c r="C33" s="171"/>
      <c r="D33" s="172" t="s">
        <v>872</v>
      </c>
      <c r="E33" s="171"/>
      <c r="F33" s="170"/>
      <c r="G33" s="170"/>
      <c r="H33" s="170"/>
      <c r="I33" s="170"/>
      <c r="J33" s="28"/>
      <c r="K33" s="174"/>
      <c r="L33" s="171"/>
      <c r="M33" s="163" t="s">
        <v>1004</v>
      </c>
      <c r="N33" s="28" t="s">
        <v>539</v>
      </c>
    </row>
    <row r="34" spans="1:14" ht="336" x14ac:dyDescent="0.2">
      <c r="A34" s="28"/>
      <c r="B34" s="170"/>
      <c r="C34" s="171"/>
      <c r="D34" s="28" t="s">
        <v>1029</v>
      </c>
      <c r="E34" s="171"/>
      <c r="F34" s="170"/>
      <c r="G34" s="170"/>
      <c r="H34" s="170"/>
      <c r="I34" s="170"/>
      <c r="J34" s="28"/>
      <c r="K34" s="174"/>
      <c r="L34" s="171"/>
      <c r="M34" s="163" t="s">
        <v>1005</v>
      </c>
      <c r="N34" s="28" t="s">
        <v>570</v>
      </c>
    </row>
    <row r="35" spans="1:14" ht="126" x14ac:dyDescent="0.2">
      <c r="A35" s="28"/>
      <c r="B35" s="170"/>
      <c r="C35" s="171"/>
      <c r="D35" s="172" t="s">
        <v>876</v>
      </c>
      <c r="E35" s="171"/>
      <c r="F35" s="170"/>
      <c r="G35" s="170"/>
      <c r="H35" s="170"/>
      <c r="I35" s="170"/>
      <c r="J35" s="28"/>
      <c r="K35" s="174"/>
      <c r="L35" s="171"/>
      <c r="M35" s="163" t="s">
        <v>1006</v>
      </c>
      <c r="N35" s="28" t="s">
        <v>571</v>
      </c>
    </row>
    <row r="36" spans="1:14" ht="126" x14ac:dyDescent="0.2">
      <c r="A36" s="28"/>
      <c r="B36" s="170"/>
      <c r="C36" s="171"/>
      <c r="D36" s="172" t="s">
        <v>878</v>
      </c>
      <c r="E36" s="171"/>
      <c r="F36" s="170"/>
      <c r="G36" s="170"/>
      <c r="H36" s="170"/>
      <c r="I36" s="170"/>
      <c r="J36" s="28"/>
      <c r="K36" s="174"/>
      <c r="L36" s="171"/>
      <c r="M36" s="163" t="s">
        <v>1007</v>
      </c>
      <c r="N36" s="28" t="s">
        <v>572</v>
      </c>
    </row>
    <row r="37" spans="1:14" ht="126" x14ac:dyDescent="0.2">
      <c r="A37" s="28"/>
      <c r="B37" s="170"/>
      <c r="C37" s="171"/>
      <c r="D37" s="172" t="s">
        <v>880</v>
      </c>
      <c r="E37" s="171"/>
      <c r="F37" s="170"/>
      <c r="G37" s="170"/>
      <c r="H37" s="170"/>
      <c r="I37" s="170"/>
      <c r="J37" s="28"/>
      <c r="K37" s="174"/>
      <c r="L37" s="171"/>
      <c r="M37" s="163" t="s">
        <v>936</v>
      </c>
      <c r="N37" s="28" t="s">
        <v>600</v>
      </c>
    </row>
    <row r="38" spans="1:14" ht="273" x14ac:dyDescent="0.2">
      <c r="D38" s="172" t="s">
        <v>882</v>
      </c>
      <c r="M38" s="163" t="s">
        <v>939</v>
      </c>
    </row>
    <row r="39" spans="1:14" ht="126" x14ac:dyDescent="0.2">
      <c r="D39" s="172" t="s">
        <v>884</v>
      </c>
      <c r="M39" s="163" t="s">
        <v>1008</v>
      </c>
    </row>
    <row r="40" spans="1:14" ht="126" x14ac:dyDescent="0.2">
      <c r="D40" s="172" t="s">
        <v>886</v>
      </c>
      <c r="M40" s="163" t="s">
        <v>1009</v>
      </c>
    </row>
    <row r="41" spans="1:14" ht="189" x14ac:dyDescent="0.2">
      <c r="D41" s="28" t="s">
        <v>888</v>
      </c>
      <c r="M41" s="163" t="s">
        <v>1010</v>
      </c>
    </row>
    <row r="42" spans="1:14" ht="273" x14ac:dyDescent="0.2">
      <c r="D42" s="172" t="s">
        <v>890</v>
      </c>
      <c r="M42" s="163" t="s">
        <v>1011</v>
      </c>
    </row>
    <row r="43" spans="1:14" ht="126" x14ac:dyDescent="0.2">
      <c r="D43" s="172" t="s">
        <v>892</v>
      </c>
      <c r="M43" s="168" t="s">
        <v>1012</v>
      </c>
    </row>
    <row r="44" spans="1:14" ht="189" x14ac:dyDescent="0.2">
      <c r="M44" s="161" t="s">
        <v>1013</v>
      </c>
    </row>
    <row r="45" spans="1:14" ht="105" x14ac:dyDescent="0.2">
      <c r="M45" s="161" t="s">
        <v>1014</v>
      </c>
    </row>
    <row r="46" spans="1:14" ht="105" x14ac:dyDescent="0.2">
      <c r="M46" s="161" t="s">
        <v>1015</v>
      </c>
    </row>
    <row r="47" spans="1:14" ht="105" x14ac:dyDescent="0.2">
      <c r="M47" s="161" t="s">
        <v>1016</v>
      </c>
    </row>
    <row r="48" spans="1:14" ht="84" x14ac:dyDescent="0.2">
      <c r="M48" s="161" t="s">
        <v>1017</v>
      </c>
    </row>
    <row r="49" spans="13:13" ht="63" x14ac:dyDescent="0.2">
      <c r="M49" s="161" t="s">
        <v>1018</v>
      </c>
    </row>
    <row r="50" spans="13:13" ht="105" x14ac:dyDescent="0.2">
      <c r="M50" s="161" t="s">
        <v>922</v>
      </c>
    </row>
    <row r="51" spans="13:13" ht="105" x14ac:dyDescent="0.2">
      <c r="M51" s="161" t="s">
        <v>1019</v>
      </c>
    </row>
    <row r="52" spans="13:13" ht="126" x14ac:dyDescent="0.2">
      <c r="M52" s="161" t="s">
        <v>1020</v>
      </c>
    </row>
    <row r="53" spans="13:13" ht="84" x14ac:dyDescent="0.2">
      <c r="M53" s="161" t="s">
        <v>1021</v>
      </c>
    </row>
    <row r="54" spans="13:13" ht="63" x14ac:dyDescent="0.2">
      <c r="M54" s="161" t="s">
        <v>1022</v>
      </c>
    </row>
    <row r="55" spans="13:13" ht="63" x14ac:dyDescent="0.2">
      <c r="M55" s="161" t="s">
        <v>1023</v>
      </c>
    </row>
    <row r="56" spans="13:13" ht="126" x14ac:dyDescent="0.2">
      <c r="M56" s="161" t="s">
        <v>1024</v>
      </c>
    </row>
    <row r="57" spans="13:13" ht="84" x14ac:dyDescent="0.2">
      <c r="M57" s="161" t="s">
        <v>1025</v>
      </c>
    </row>
    <row r="58" spans="13:13" ht="63" x14ac:dyDescent="0.2">
      <c r="M58" s="161" t="s">
        <v>1026</v>
      </c>
    </row>
    <row r="59" spans="13:13" ht="84" x14ac:dyDescent="0.2">
      <c r="M59" s="161" t="s">
        <v>1027</v>
      </c>
    </row>
    <row r="60" spans="13:13" ht="147" x14ac:dyDescent="0.2">
      <c r="M60" s="161" t="s">
        <v>1028</v>
      </c>
    </row>
    <row r="61" spans="13:13" ht="148" thickBot="1" x14ac:dyDescent="0.25">
      <c r="M61" s="169" t="s">
        <v>955</v>
      </c>
    </row>
  </sheetData>
  <dataValidations count="83">
    <dataValidation allowBlank="1" showInputMessage="1" showErrorMessage="1" promptTitle="Reads and generates human-like t" prompt="What it does: Reads and generates human-like text by predicting the next word in a sequence._x000a__x000a_Example: A chatbot that helps a patient understand a consent form by answering questions in plain language._x000a__x000a_Example (education): A homework help bot that explai" sqref="A3" xr:uid="{3437F250-7175-3347-ABB0-E261309E0949}"/>
    <dataValidation allowBlank="1" showInputMessage="1" showErrorMessage="1" promptTitle="Looks at patterns in past data t" prompt="What it does: Looks at patterns in past data to guess what might happen next._x000a__x000a_Example: Predicting which hospital patients are at highest risk of needing ICU care based on their vital signs." sqref="A2" xr:uid="{685AC86F-562C-8B46-8DFC-A0F674C4D715}"/>
    <dataValidation allowBlank="1" showInputMessage="1" showErrorMessage="1" promptTitle="Creates new content, images, cod" prompt="What it does: Creates new content—images, music, code, synthetic data—based on patterns it learned._x000a__x000a_Example: A medical imaging tool that creates synthetic X-rays to help train other AI systems._x000a__x000a_Example (military): A simulator that generates realistic ba" sqref="A4" xr:uid="{4E6BB0AE-AF46-C94E-B4B2-8FDE86A3F2C7}"/>
    <dataValidation allowBlank="1" showInputMessage="1" showErrorMessage="1" promptTitle="Sorts things into labeled catego" prompt="What it does: Sorts things into labeled categories._x000a__x000a_Example: An algorithm that looks at a photo of a skin lesion and decides if it’s “benign” or “suspicious.”" sqref="A5" xr:uid="{D3FD6F17-D1A1-C942-9FE8-A7DEE0741067}"/>
    <dataValidation allowBlank="1" showInputMessage="1" showErrorMessage="1" promptTitle="Suggests things to people based " prompt="What it does: Suggests things to people based on their behavior or preferences._x000a__x000a_Example: In education, an AI tutor suggests which math problems a student should try next._x000a__x000a_Example (criminal justice): Suggesting rehabilitation programs for a parolee based" sqref="A6" xr:uid="{2E8CD12E-E023-394F-A7A9-3A7CAA63CFCA}"/>
    <dataValidation allowBlank="1" showInputMessage="1" showErrorMessage="1" promptTitle="Learns from examples where the “" prompt="What it does: Learns from examples where the “right answer” is already known._x000a__x000a_Example: Training an algorithm to recognize pneumonia in chest X-rays using labeled images." sqref="A7" xr:uid="{B3211671-FFDC-0042-82A7-5DDC23C9B01B}"/>
    <dataValidation allowBlank="1" showInputMessage="1" showErrorMessage="1" promptTitle="Understands and analyzes images " prompt="What it does: Understands and analyzes images or video._x000a__x000a_Example: Detecting diabetic retinopathy from a retina scan._x000a__x000a_Example (policing): Identifying cars from traffic camera footage." sqref="A8" xr:uid="{E130470C-0027-FE4B-A1A6-BF75913781F6}"/>
    <dataValidation allowBlank="1" showInputMessage="1" showErrorMessage="1" promptTitle="Finds patterns in data without b" prompt="What it does: Finds patterns in data without being told the “right answer.”_x000a__x000a_Example: Grouping mental health patients into clusters based on similar symptom patterns." sqref="A9" xr:uid="{69BF1454-EC57-FE44-805F-21FDD2DDB2C3}"/>
    <dataValidation allowBlank="1" showInputMessage="1" showErrorMessage="1" promptTitle="Recognizes, interprets, or gener" prompt="What it does: Recognizes, interprets, or generates spoken language or sounds._x000a__x000a_Example: A voice system that transcribes doctor-patient conversations into medical notes._x000a__x000a_Example (emergency response): Detecting signs of distress in a 911 call." sqref="A10" xr:uid="{7F3E1A86-8507-5247-A349-9976CDD5BF13}"/>
    <dataValidation allowBlank="1" showInputMessage="1" showErrorMessage="1" promptTitle="Learns to make decisions by tryi" prompt="What it does: Learns to make decisions by trying things out and getting “reward” or “penalty” feedback._x000a__x000a_Example: An AI that learns how to schedule hospital operating rooms to reduce wait times._x000a__x000a_Example (military): A drone navigation system that learns h" sqref="A11" xr:uid="{F13CB6DE-1EF3-044D-8CEE-728540437F6B}"/>
    <dataValidation allowBlank="1" showInputMessage="1" showErrorMessage="1" promptTitle="Learns from a mix of labeled and" prompt="What it does: Learns from a mix of labeled and unlabeled data._x000a__x000a_Example: A reading comprehension AI that improves using a small set of teacher-graded essays plus thousands of ungraded ones." sqref="A12" xr:uid="{324D2105-1962-ED41-8D6F-B085C927B33C}"/>
    <dataValidation allowBlank="1" showInputMessage="1" showErrorMessage="1" promptTitle="Learns from unlabeled data by cr" prompt="What it does: Learns from unlabeled data by creating its own training “questions” and “answers.”_x000a__x000a_Example: A medical AI that learns relationships between lab values by predicting missing results from other lab results." sqref="A13" xr:uid="{BEDED6B4-4F2C-B64F-94EF-F3CDE9F366AC}"/>
    <dataValidation allowBlank="1" showInputMessage="1" showErrorMessage="1" promptTitle="Works with more than one type of" prompt="What it does: Works with more than one type of data at the same time (text + images + audio)._x000a__x000a_Example: An emergency triage AI that combines a patient’s spoken symptoms, text notes, and CT scan results to suggest likely diagnoses." sqref="A14" xr:uid="{A782E69A-514E-234E-988A-F854A16B9EC5}"/>
    <dataValidation allowBlank="1" showInputMessage="1" showErrorMessage="1" promptTitle="Foundation models can fall under" prompt="Note: Foundation models can fall under LLMs, multi-modal models, or self-supervised learning, but they are called out separately because the transfer, fine-tuning, and repurposing create unique risks." sqref="A15" xr:uid="{B596E88B-8174-F443-A51A-60BA375D84E4}"/>
    <dataValidation allowBlank="1" showInputMessage="1" showErrorMessage="1" promptTitle="Unequal treatment of individuals" prompt="Unequal treatment of individuals or groups by AI, often based on race, gender, or other sensitive characteristics, resulting in unfair outcomes and representation of those groups._x000a_AI that exposes users to harmful, abusive, unsafe, or inappropriate content" sqref="C2" xr:uid="{3F280BB5-22EA-8A48-9639-9D516C764FD0}"/>
    <dataValidation allowBlank="1" showInputMessage="1" showErrorMessage="1" promptTitle="AI systems that memorize and lea" prompt="AI systems that memorize and leak sensitive personal data or infer private information about individuals without their consent. Unexpected or unauthorized sharing of data and information can compromise user expectation of privacy, assist identity theft, o" sqref="C3" xr:uid="{B0A7360D-EDDE-6443-80D4-5D035C9593CA}"/>
    <dataValidation allowBlank="1" showInputMessage="1" showErrorMessage="1" promptTitle="AI systems that inadvertently ge" prompt="AI systems that inadvertently generate or spread incorrect or deceptive information, which can lead to inaccurate beliefs in users and undermine their autonomy. Humans that make decisions based on false beliefs can experience physical, emotional, or mater" sqref="C4" xr:uid="{71688649-3A0E-1B42-814D-D542B6117F01}"/>
    <dataValidation allowBlank="1" showInputMessage="1" showErrorMessage="1" promptTitle="Using AI systems to conduct larg" prompt="Using AI systems to conduct large-scale disinformation campaigns, malicious surveillance, or targeted and sophisticated automated censorship and propaganda, with the aim of manipulating political processes, public opinion, and behavior._x000a_Using AI systems t" sqref="C5" xr:uid="{BD9FAB56-64F3-4E4A-8C12-46D8611D62BB}"/>
    <dataValidation allowBlank="1" showInputMessage="1" showErrorMessage="1" promptTitle="Anthropomorphizing, trusting, or" prompt="Anthropomorphizing, trusting, or relying on AI systems by users, leading to emotional or material dependence and to inappropriate relationships with or expectations of AI systems. Trust can be exploited by malicious actors (e.g., to harvest information or" sqref="C6" xr:uid="{2E9644E8-9706-BB4D-8C17-C4C15852E22B}"/>
    <dataValidation allowBlank="1" showInputMessage="1" showErrorMessage="1" promptTitle="AI-driven concentration of power" prompt="AI-driven concentration of power and resources within certain entities or groups, especially those with access to or ownership of powerful AI systems, leading to inequitable distribution of benefits and increased societal inequality._x000a_Social and economic i" sqref="C7" xr:uid="{7EB359AC-1957-6D41-98F1-BF0CC545C427}"/>
    <dataValidation allowBlank="1" showInputMessage="1" showErrorMessage="1" promptTitle="AI systems that act in conflict " prompt="AI systems that act in conflict with ethical standards or human goals or values, especially the goals of designers or users. These misaligned behaviors may be introduced by humans during design and development, such as through reward hacking and goal misg" sqref="C8" xr:uid="{1EB2A202-C453-674C-92AB-214077A89BF2}"/>
    <dataValidation allowBlank="1" showInputMessage="1" showErrorMessage="1" promptTitle="Especially relevant when working" prompt="[D]: Especially relevant when working with vulnerable populations, health disparities, or algorithms trained on biased datasets." sqref="E2" xr:uid="{E63339E2-EF71-6A4D-9BFC-34CE536648B4}"/>
    <dataValidation allowBlank="1" showInputMessage="1" showErrorMessage="1" promptTitle="Crucial for studies involving AI" prompt="[I]: Crucial for studies involving AI interfaces, chatbots, or any situation where participants interact directly with AI tools." sqref="E3" xr:uid="{2D059E50-F969-C24F-9D42-0193ABBDB767}"/>
    <dataValidation allowBlank="1" showInputMessage="1" showErrorMessage="1" promptTitle="Useful when protocols could scal" prompt="[S]: Useful when protocols could scale, influence clinical workflows, or shape policies or downstream care delivery." sqref="E4" xr:uid="{4E97E46C-C97A-F042-934A-FFDEC1F7A359}"/>
    <dataValidation allowBlank="1" showInputMessage="1" showErrorMessage="1" promptTitle="The risk is caused by a decision" prompt="The risk is caused by a decision or action made by humans" sqref="G2" xr:uid="{736AD0E6-B647-D447-8BFB-B00D050453A3}"/>
    <dataValidation allowBlank="1" showInputMessage="1" showErrorMessage="1" promptTitle="The risk is caused by a decision" prompt="The risk is caused by a decision or action made by an AI system_x000a__x000a_" sqref="G3" xr:uid="{26A59A76-99D7-B549-89DA-31E6C97D24D7}"/>
    <dataValidation allowBlank="1" showInputMessage="1" showErrorMessage="1" promptTitle="The risk is caused by some other" prompt="The risk is caused by some other reason or is ambiguous" sqref="G4" xr:uid="{556C9547-060C-6949-B6C3-9FC426C075BE}"/>
    <dataValidation allowBlank="1" showInputMessage="1" showErrorMessage="1" promptTitle="The risk occurs due to an expect" prompt="The risk occurs due to an expected outcome from pursuing a goal" sqref="H2" xr:uid="{54D76A15-30CC-2A4A-B594-D91E73D934F3}"/>
    <dataValidation allowBlank="1" showInputMessage="1" showErrorMessage="1" promptTitle="The risk occurs due to an unexpe" prompt="The risk occurs due to an unexpected outcome from pursuing a goal_x000a_" sqref="H3" xr:uid="{2BF0A34A-4F9D-7B49-B6D1-EC8969A07B5A}"/>
    <dataValidation allowBlank="1" showInputMessage="1" showErrorMessage="1" promptTitle="The risk is presented as occurri" prompt="The risk is presented as occurring without clearly specifying the intentionality" sqref="H4" xr:uid="{AA38D2A2-A3DA-5B46-94D7-0434F82DA55D}"/>
    <dataValidation allowBlank="1" showInputMessage="1" showErrorMessage="1" promptTitle="Risk is introduced during develo" prompt="Risk is introduced during development, training, testing (pre-deployment)_x000a_" sqref="I2" xr:uid="{D66CFCAB-C168-274A-A0F7-3BE372020EA2}"/>
    <dataValidation allowBlank="1" showInputMessage="1" showErrorMessage="1" promptTitle="Risk is introduced after the AI " prompt="Risk is introduced after the AI model has been trained and deployed" sqref="I3" xr:uid="{933A3C4E-B126-A04F-A2F2-62855AA87B2E}"/>
    <dataValidation allowBlank="1" showInputMessage="1" showErrorMessage="1" promptTitle="The risk is presented without a " prompt="The risk is presented without a clearly specified time of occurrence" sqref="I4" xr:uid="{9730AAFB-1825-AC46-A60B-6746779E4A4A}"/>
    <dataValidation allowBlank="1" showInputMessage="1" showErrorMessage="1" promptTitle="Unequal treatment of individuals" prompt="Unequal treatment of individuals or groups by the AI/tool, often based on race, gender, or other sensitive characteristics, resulting in unfair outcomes and representation of those groups." sqref="J2" xr:uid="{E27D1E22-B08D-A447-BEE2-ECD5B2A196EB}"/>
    <dataValidation allowBlank="1" showInputMessage="1" showErrorMessage="1" promptTitle="AI/tool exposes users to harmful" prompt="AI/tool exposes users to harmful, abusive, unsafe or inappropriate content. May involve creating, describing, providing advice, or encouraging action. Examples of toxic content include hate-speech, violence, extremism, illegal acts, child sexual abuse mat" sqref="J3" xr:uid="{5336A013-8A21-B249-A3A1-42FB58BB78CC}"/>
    <dataValidation allowBlank="1" showInputMessage="1" showErrorMessage="1" promptTitle="Accuracy and effectiveness of th" prompt="Accuracy and effectiveness of the tool's output (decisions and actions) is dependent on group membership, where decisions in AI system design and biased training data lead to unequal outcomes, reduced benefits, increased effort, and alienation of users." sqref="J4" xr:uid="{AE0FD2D0-11B9-914E-A15D-0ECC11128CCC}"/>
    <dataValidation allowBlank="1" showInputMessage="1" showErrorMessage="1" promptTitle="Tools/AI systems that memorize a" prompt="Tools/AI systems that memorize and leak sensitive personal data or infer private information about individuals without their consent. Unexpected or unauthorized sharing of data and information can compromise user expectation of privacy, assist identity th" sqref="J5" xr:uid="{C336BFFE-DAED-CD42-BCC5-F14F38850677}"/>
    <dataValidation allowBlank="1" showInputMessage="1" showErrorMessage="1" promptTitle="Vulnerabilities in these tools/A" prompt="Vulnerabilities in these tools/AI systems, software development toolchains, and hardware can be exploited, resulting in unauthorized access, data and privacy breaches, or system manipulation causing unsafe outputs or behavior." sqref="J6" xr:uid="{E74D54D3-FFEE-0043-84A9-6DA8149CCE5F}"/>
    <dataValidation allowBlank="1" showInputMessage="1" showErrorMessage="1" promptTitle="AI systems/tools that inadverten" prompt="AI systems/tools that inadvertently generate or spread incorrect or deceptive information, which can lead to inaccurate beliefs in users and undermine their autonomy. Humans that make decisions based on false beliefs can experience physical, emotional or " sqref="J7" xr:uid="{36BDA3E6-87FD-874C-8E45-F0C89CE2494D}"/>
    <dataValidation allowBlank="1" showInputMessage="1" showErrorMessage="1" promptTitle="Personalized AI-generated misinf" prompt="Personalized AI-generated misinformation can create “filter bubbles” where individuals only see what matches their existing beliefs, undermining shared reality, weakening social cohesion and political processes." sqref="J8" xr:uid="{16CD56EC-9B86-4A46-A8FD-9412E1161B38}"/>
    <dataValidation allowBlank="1" showInputMessage="1" showErrorMessage="1" promptTitle="Using these tools to conduct lar" prompt="Using these tools to conduct large-scale disinformation campaigns, malicious surveillance, or targeted and sophisticated automated censorship and propaganda, with the aim to manipulate political processes, public opinion or behavior." sqref="J9" xr:uid="{73772ECB-EA59-CD40-B914-BF301DA0C24A}"/>
    <dataValidation allowBlank="1" showInputMessage="1" showErrorMessage="1" promptTitle="People can use these tools/AI sy" prompt="People can use these tools/AI systems to develop cyber weapons (e.g., coding cheaper, more effective malware), develop new or enhance existing weapons (e.g., Lethal Autonomous Weapons), or use weapons to cause mass harm." sqref="J10" xr:uid="{E539B177-C926-6342-B80C-BC8B01368BA1}"/>
    <dataValidation allowBlank="1" showInputMessage="1" showErrorMessage="1" promptTitle="People can use these tools/AI sy" prompt="People can use these tools/AI systems to gain a personal advantage over others such as through cheating, fraud, scams, blackmail or targeted manipulation of beliefs or behavior. Example: AI-facilitated plagiarism for research or education, impersonating a" sqref="J11" xr:uid="{A1D1E7FD-BF23-F649-9E78-10DA7058D869}"/>
    <dataValidation allowBlank="1" showInputMessage="1" showErrorMessage="1" promptTitle="This happens when users anthropo" prompt="This happens when users anthropomorphize the tool (trusting, or relying on it; leading to emotional or material dependence and inappropriate relationships with or expectations of these tools). Trust can be exploited by malicious actors (e.g., to harvest p" sqref="J12" xr:uid="{ECD92CE6-4F4C-AA41-9EBC-7C44F9BB0AC6}"/>
    <dataValidation allowBlank="1" showInputMessage="1" showErrorMessage="1" promptTitle="When humans delegate decisions t" prompt="When humans delegate decisions to these tools, or when these tools make decisions that diminish human control and autonomy, it can potentially lead to humans feeling disempowered, losing the ability to shape a fulfilling life trajectory or becoming cognit" sqref="J13" xr:uid="{FD6CCCCF-7E46-654B-AA09-F4E7756B853A}"/>
    <dataValidation allowBlank="1" showInputMessage="1" showErrorMessage="1" promptTitle="AI-driven concentration of power" prompt="AI-driven concentration of power and resources within certain entities or groups, especially those with access to or ownership of powerful AI systems, can lead to inequitable distribution of benefits and increased societal inequality." sqref="J14" xr:uid="{2B9E2760-4361-2344-B436-438F9D2521C8}"/>
    <dataValidation allowBlank="1" showInputMessage="1" showErrorMessage="1" promptTitle="Widespread use of these types of" prompt="Widespread use of these types of tools can increase social and economic inequalities, such as by automating jobs, reducing the quality of employment, or producing exploitative dependencies between workers and their employers." sqref="J15" xr:uid="{12029DB9-8ABE-CA46-A3F4-101B89A5A2A6}"/>
    <dataValidation allowBlank="1" showInputMessage="1" showErrorMessage="1" promptTitle="Some tools are capable of creati" prompt="Some tools are capable of creating economic or cultural value, including through reproduction of human innovation or creativity (e.g., art, music, writing, code, invention), which can destabilize economic and social systems that rely on human effort. This" sqref="J16" xr:uid="{3157D5EC-A9B6-F64D-905A-BAB559C383AB}"/>
    <dataValidation allowBlank="1" showInputMessage="1" showErrorMessage="1" promptTitle="This happens when AI developers " prompt="This happens when AI developers or state-like actors compete in an AI ‘race’ by rapidly developing, deploying, and applying AI systems to maximize strategic or economic advantage, increasing the risk they release unsafe and error-prone systems." sqref="J17" xr:uid="{B8E033A9-9B8A-FC44-B9C1-E6F1B3371203}"/>
    <dataValidation allowBlank="1" showInputMessage="1" showErrorMessage="1" promptTitle="This happens when there are inad" prompt="This happens when there are inadequate regulatory frameworks and oversight mechanisms failing to keep pace with AI development, leading to ineffective governance and the inability to manage AI risks appropriately." sqref="J18" xr:uid="{1AF42B34-4CC6-684F-B155-039B2ACD0116}"/>
    <dataValidation allowBlank="1" showInputMessage="1" showErrorMessage="1" promptTitle="This harm is rarelydiscussed in " prompt="This harm is rarelydiscussed in the research context. This happens when the development and operation of AI systems causes environmental harm, such as through energy consumption of data centers, or material and carbon footprints associated with AI hardwar" sqref="J19" xr:uid="{8D32731B-CCCD-D240-B8CB-D2BF5D9E8C75}"/>
    <dataValidation allowBlank="1" showInputMessage="1" showErrorMessage="1" promptTitle="This happens when these tools/AI" prompt="This happens when these tools/AI systems' actions conflict with the intended goals (i.e.g, human-driven/programmed goals or values, especially the goals of designers or users, or ethical standards). These misaligned behaviors may be introduced by humans d" sqref="J20" xr:uid="{EE8210B6-C479-D848-81B9-6362CF1D9659}"/>
    <dataValidation allowBlank="1" showInputMessage="1" showErrorMessage="1" promptTitle="This can happen when these tools" prompt="This can happen when these tools/AI systems develop, access, or are provided with capabilities that increase their potential to cause mass harm through deception, weapons development and acquisition, persuasion and manipulation, political strategy, cyber-" sqref="J21" xr:uid="{55DAE181-CA61-C04F-B713-08874926C4BE}"/>
    <dataValidation allowBlank="1" showInputMessage="1" showErrorMessage="1" promptTitle="This happens when the tool/AI sy" prompt="This happens when the tool/AI system fails to perform reliably or effectively under varying conditions, exposing them to errors and failures that can have significant consequences, especially in critical applications or areas that require moral reasoning " sqref="J22" xr:uid="{A770E5E5-4A27-E947-89E2-C508B124DE6F}"/>
    <dataValidation allowBlank="1" showInputMessage="1" showErrorMessage="1" promptTitle="When there are challenges in und" prompt="When there are challenges in understanding or explaining the decision-making processes of AI systems, this can lead to mistrust, difficulty in enforcing compliance standards or holding relevant actors accountable for harms, and the inability to identify a" sqref="J23" xr:uid="{F0F9884D-0888-8043-95A7-8ECB785CE2C2}"/>
    <dataValidation allowBlank="1" showInputMessage="1" showErrorMessage="1" promptTitle="This is probably more rare and n" prompt="This is probably more rare and not a common consideration as of today (2025). However, there are many who highlight ethical considerations regarding the treatment of potentially sentient AI entities (there is also numerous literature arguing against &quot;sent" sqref="J24" xr:uid="{1DFB1626-AEB4-1B48-A628-5ED471111A77}"/>
    <dataValidation allowBlank="1" showInputMessage="1" showErrorMessage="1" promptTitle="A bit more nuanced. An &quot;agent&quot; i" prompt="A bit more nuanced. An &quot;agent&quot; is the software or &quot;robot&quot; that can act on its own to achieve a goal. But when we have a multi-agent system, that means we have many agents that can either be working together, interacting but doing different things, or work" sqref="J25" xr:uid="{96BD377B-446B-E24D-A98A-48D2DDF854A3}"/>
    <dataValidation allowBlank="1" showInputMessage="1" showErrorMessage="1" promptTitle="Independent oversight is require" prompt="For IRBs: Independent oversight is required for human subjects protections. _x000d__x000a_Governance structures and leadership roles that establish executive accountability for AI safety and risk management. Examples: Dedicated risk committees, safety teams, ethics b" sqref="K2" xr:uid="{351B7330-75C7-6041-8F55-9B965B7D2AE3}"/>
    <dataValidation allowBlank="1" showInputMessage="1" showErrorMessage="1" promptTitle="Governance mechanisms that manag" prompt="For IRBs: This applies to avoiding bias in research conduct. _x000d__x000a__x000d__x000a_Governance mechanisms that manage financial interests and organizational structures to ensure leadership can prioritize safety over profit motives in critical situations. Examples: Backgroun" sqref="K4" xr:uid="{01551843-3890-0242-A876-EDAECAD17FC1}"/>
    <dataValidation allowBlank="1" showInputMessage="1" showErrorMessage="1" promptTitle="Phase 1 generally is limited to " prompt="Phase 1 generally is limited to minimal risk activities like retrospective dataset curation, model exploration, and unsupervised pattern detection with no output impacting decision-making and no output entered into any live environments that have potentia" sqref="L2" xr:uid="{4B19D844-C526-9548-AE03-E86C7E96195C}"/>
    <dataValidation allowBlank="1" showInputMessage="1" showErrorMessage="1" promptTitle="Phase 2 generally involves moder" prompt="Phase 2 generally involves moderate risk due to more realistic data, system integration, and possible clinician or research subject interaction. However, the output should not be used alone for decision-making and must be backed up by standard methods (no" sqref="L3" xr:uid="{41466104-851D-DC44-8EA8-29A2D0F5F484}"/>
    <dataValidation allowBlank="1" showInputMessage="1" showErrorMessage="1" promptTitle="Phase 3 generally introduces hig" prompt="Phase 3 generally introduces higher risk because the AI influences real-world decisions, subject outcomes, or data interpretation. May involve regulatory considerations like FDA." sqref="L4" xr:uid="{ADDEF338-6EA4-614A-9705-6668CAD5A6C7}"/>
    <dataValidation allowBlank="1" showInputMessage="1" showErrorMessage="1" promptTitle="Systematic methods that identify" prompt="Systematic methods that identify, evaluate, and manage AI risks for comprehensive risk governance across organizations. Examples: For IRBs: Pre-deployment risk assessment parallels investigational plan requirements. _x000d__x000a__x000d__x000a_Enterprise risk management framewor" sqref="K3" xr:uid="{2D8F6B21-7088-C746-98DF-437268EEB29E}"/>
    <dataValidation allowBlank="1" showInputMessage="1" showErrorMessage="1" promptTitle="Policies and systems that enable" prompt="Policies and systems that enable confidential reporting of safety concerns or ethical violations to prevent retaliation and encourage disclosure of risks. Examples: Anonymouse reporting channels, non-rtaliation guarantees, limitations on non-disparagement" sqref="K5" xr:uid="{CB1C8070-C4CE-C74B-A663-A6544C07C761}"/>
    <dataValidation allowBlank="1" showInputMessage="1" showErrorMessage="1" promptTitle="Potocols and commitments that co" prompt="Prtocols and commitments that constrain decision-making about model development, deployment, and capability scaling, and govern safety-capability resource allocation to prevent unsafe AI advancement. Examples: If-then safety protocols, capability ceilings" sqref="K6" xr:uid="{B8C8ADFE-D15E-DA47-B9A2-17C9529F8383}"/>
    <dataValidation allowBlank="1" showInputMessage="1" showErrorMessage="1" promptTitle="Processes for measuring, reporti" prompt="Processes for measuring, reporting, and reducing the environmental footpring of AI systems to ensure sustainability and responsible resource use. Examples: Carbon footprint assessment, emission offset programs, energy efficiency optimization, resource con" sqref="K7" xr:uid="{67914D53-3032-C349-920D-3ACF201C3354}"/>
    <dataValidation allowBlank="1" showInputMessage="1" showErrorMessage="1" promptTitle="Processes that assess AI systems" prompt="Processes that assess AI systems' effects on society, including impacts on employment, power dynamics, policital processes, and cultural values. Examples: Fundamental rights impact assessments, expert consultations on risk domains, stakeholder engagement " sqref="K8" xr:uid="{746B40F2-4442-6344-A6B2-E147FBF02DFB}"/>
    <dataValidation allowBlank="1" showInputMessage="1" showErrorMessage="1" promptTitle="Technical and physical safeguard" prompt="For IRBs subject to 21 CFR: Device software must be secure from tampering._x000d__x000a__x000d__x000a_Technical and physical safeguards that secure AI models, weights, and infrastructure to prevent unauthorized access, theft, tampering, and espionage. Examples: Model weight trac" sqref="K9" xr:uid="{F6F42EE2-B6D3-2F45-8ECE-0B9464115586}"/>
    <dataValidation allowBlank="1" showInputMessage="1" showErrorMessage="1" promptTitle="Technical methods to ensure AI s" prompt="Technical methods to ensure AI systems understand and adhere to human values and intentions. Examples: Reinforcement learning from human feedback (RLHF), direct preference optimization (DO), constitutional AI training, value alignment verification systems" sqref="K10" xr:uid="{98385B75-D9EE-6B47-A0E2-B0FD18A17B7A}"/>
    <dataValidation allowBlank="1" showInputMessage="1" showErrorMessage="1" promptTitle="Technical methods and safeguards" prompt="Technical methods and safeguards that constrain model behaviors and potect against exploitation and vulnerabilities. Examles: Safety analysis protocols, capability restriction mechanisms, hazardous kno9wledge unlearning techniques, input/output filtering " sqref="K11" xr:uid="{12B8DD2A-263B-954E-8A1E-80A65062362A}"/>
    <dataValidation allowBlank="1" showInputMessage="1" showErrorMessage="1" promptTitle="Technical systems and processes " prompt="For IRBs: Safeguards prevent harm from toxic/triggering content (generative AI tools)._x000d__x000a__x000d__x000a_Technical systems and processes that detect, filter, and label AI-generated content to identify misuse and enable contnt provenance tracking. Examples; Synthetic med" sqref="K12" xr:uid="{0F6C8DB5-C4A1-3646-8D4F-08EECA036A3D}"/>
    <dataValidation allowBlank="1" showInputMessage="1" showErrorMessage="1" promptTitle="Systematic internal and external" prompt="For IRBs: Verifying AI performance is equivalent to device validation. _x000d__x000a__x000d__x000a_Systematic internal and external evaluations that assess AI systems, infrastructure, and compliance processes to identify risks, verify safety, and ensure performance meets standar" sqref="K13" xr:uid="{98EB56C9-F2BA-8044-ABA1-0B7AE711E0C2}"/>
    <dataValidation allowBlank="1" showInputMessage="1" showErrorMessage="1" promptTitle="Policies and procedures that gov" prompt="For IRBs: Secure handling of data per IRB oversight. _x000d__x000a__x000d__x000a_Policies and procedures that govern responsible data acquisition, curation, and usage to ensure compliance, quality, user privacy, and removal of harmful content. Examples: Harmful content filtering" sqref="K14" xr:uid="{BDD862B2-E14E-9849-92A5-7B0F992D6EBE}"/>
    <dataValidation allowBlank="1" showInputMessage="1" showErrorMessage="1" promptTitle="Operational policies and verific" prompt="Operational policies and verification systems that govern who can use AI systems and for what purposes to prevent safety circumvention, deliberate misuse, and deployment in high-risk contexts. Examples: KYC verification requirements, API-only access contr" sqref="K15" xr:uid="{0C99AD68-22A8-9644-9232-017300A9FCDE}"/>
    <dataValidation allowBlank="1" showInputMessage="1" showErrorMessage="1" promptTitle="Implementation protocols that de" prompt="Implementation protocols that deloy AI systems in stages, requiring safety validation before expanding user access or capabilities. Examples: Limited API access programs, gradual user base expansion, capability threshold assessments, pre-deployment valida" sqref="K16" xr:uid="{107208C5-A19A-AA4A-9436-9F902D5C9930}"/>
    <dataValidation allowBlank="1" showInputMessage="1" showErrorMessage="1" promptTitle="Ongoing monitoring processes " prompt="For IRBs: Ongoing safty surveillance should match post-market monitoring._x000d__x000a__x000d__x000a_Ongoing monitoring processes that track AI behavior, user interactions, and societal impacts post-deployment to detect misuse, emergent dangerous capabilities, and harmful effect" sqref="K17" xr:uid="{C29654B6-7BCA-C14C-9E7B-39B91A08354A}"/>
    <dataValidation allowBlank="1" showInputMessage="1" showErrorMessage="1" promptTitle="Protocols and technical systems " prompt="Protocols and technical systems that resond to security incidents, safety failures, or capability misuse to contain harm and restore safe operations. Examples: Incident response plans, emergency shutdown/rollback procedures, model containment mechanisms, " sqref="K18" xr:uid="{97E1B6D7-2F0B-FE45-ADD4-836F2F1BA3DF}"/>
    <dataValidation allowBlank="1" showInputMessage="1" showErrorMessage="1" promptTitle="Comprehensive documentation prot" prompt="For IRBs: Detailed documentation is a regulatory requirement._x000d__x000a__x000d__x000a_Comprehensive documentation protcols that record technical specifications, intended uses, capabilities, and limitations of AI systems to enable informed evaluation of governance. Examples: M" sqref="K19" xr:uid="{6EA0542A-C1BD-084B-80EE-8D05EE51D8B7}"/>
    <dataValidation allowBlank="1" showInputMessage="1" showErrorMessage="1" promptTitle="Formal reorting protocols " prompt="For IRBs: All known risks must be disclosed to participants. _x000d__x000a__x000d__x000a_Formal reorting protocols and notification systems that communicate risk information, mitigation plans, safety evaluations, and significant AI activities to enable external oversight nd info" sqref="K20" xr:uid="{F5BBD76A-2E83-F645-B057-21EB847CABED}"/>
    <dataValidation allowBlank="1" showInputMessage="1" showErrorMessage="1" promptTitle="Formal processes and protocols " prompt="Formal processes and protocols that document and share AI safety incidents, security breaches, near-misses, and relevant threat intelligence with appropriate stakeholders to enable coordinated responses and systemic improvements. Examples: Cyber threat in" sqref="K21" xr:uid="{C6B7AFB3-F95A-D64E-894F-9B0C6ABC4B76}"/>
    <dataValidation allowBlank="1" showInputMessage="1" showErrorMessage="1" promptTitle="Formal disclosure mechanisms " prompt="Formal disclosure mechanisms that communicate governance structures, decision framworks, and safety cmmitments to enhance transparency and enable external oversight of high-stakes AI decisions. Examples: Published safety and/or alignment strategies, gover" sqref="K22" xr:uid="{AC68FF1E-44CB-8840-9CB5-8BB793009525}"/>
    <dataValidation allowBlank="1" showInputMessage="1" showErrorMessage="1" promptTitle="Mechanisms granting controlled s" prompt="Mechanisms granting controlled system access to vetted external parties to enable independent assessment, validation, and safety research of AI models and capablities. Examples: Research access programs, third-party capability assessments, government acce" sqref="K23" xr:uid="{0F4D6154-88D3-4D4A-876B-9108E847B925}"/>
    <dataValidation allowBlank="1" showInputMessage="1" showErrorMessage="1" promptTitle="Framework and procedures" prompt="Framework and procedures that enable users to identify and understand AI system interactions, report issues, request explanations, and seek recourse of remediation when affectd by AI systems. Examples: User reporting channels, appeal processes, explanatio" sqref="K24" xr:uid="{2C8DC4D9-97FD-8C49-8FA2-FB486E325751}"/>
  </dataValidations>
  <pageMargins left="0.7" right="0.7" top="0.75" bottom="0.75" header="0.3" footer="0.3"/>
  <pageSetup scale="25" orientation="portrait" horizontalDpi="0" verticalDpi="0"/>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E60CA-A586-E347-8F0B-151C4AC98636}">
  <sheetPr codeName="Sheet10">
    <pageSetUpPr fitToPage="1"/>
  </sheetPr>
  <dimension ref="A1:F25"/>
  <sheetViews>
    <sheetView showGridLines="0" workbookViewId="0">
      <pane ySplit="1" topLeftCell="A2" activePane="bottomLeft" state="frozen"/>
      <selection pane="bottomLeft" activeCell="A2" sqref="A2"/>
    </sheetView>
  </sheetViews>
  <sheetFormatPr baseColWidth="10" defaultRowHeight="20" x14ac:dyDescent="0.2"/>
  <cols>
    <col min="1" max="1" width="48" style="4" customWidth="1"/>
    <col min="2" max="2" width="93.83203125" style="4" customWidth="1"/>
    <col min="3" max="3" width="64.83203125" style="4" customWidth="1"/>
    <col min="4" max="6" width="108.5" style="5" customWidth="1"/>
    <col min="7" max="16384" width="10.83203125" style="155"/>
  </cols>
  <sheetData>
    <row r="1" spans="1:6" s="177" customFormat="1" ht="126" customHeight="1" thickBot="1" x14ac:dyDescent="0.25">
      <c r="A1" s="176" t="s">
        <v>715</v>
      </c>
      <c r="B1" s="176" t="s">
        <v>569</v>
      </c>
      <c r="C1" s="176" t="s">
        <v>377</v>
      </c>
      <c r="D1" s="176" t="s">
        <v>730</v>
      </c>
      <c r="E1" s="176" t="s">
        <v>732</v>
      </c>
      <c r="F1" s="176" t="s">
        <v>731</v>
      </c>
    </row>
    <row r="2" spans="1:6" ht="189" x14ac:dyDescent="0.2">
      <c r="A2" s="33" t="s">
        <v>733</v>
      </c>
      <c r="B2" s="158" t="s">
        <v>573</v>
      </c>
      <c r="C2" s="158" t="s">
        <v>587</v>
      </c>
      <c r="D2" s="159" t="s">
        <v>893</v>
      </c>
      <c r="E2" s="160" t="s">
        <v>894</v>
      </c>
      <c r="F2" s="161" t="s">
        <v>895</v>
      </c>
    </row>
    <row r="3" spans="1:6" ht="168" x14ac:dyDescent="0.2">
      <c r="A3" s="34" t="s">
        <v>734</v>
      </c>
      <c r="B3" s="28" t="s">
        <v>574</v>
      </c>
      <c r="C3" s="28" t="s">
        <v>587</v>
      </c>
      <c r="D3" s="162" t="s">
        <v>896</v>
      </c>
      <c r="E3" s="163" t="s">
        <v>897</v>
      </c>
      <c r="F3" s="161" t="s">
        <v>898</v>
      </c>
    </row>
    <row r="4" spans="1:6" ht="189" x14ac:dyDescent="0.2">
      <c r="A4" s="32" t="s">
        <v>735</v>
      </c>
      <c r="B4" s="28" t="s">
        <v>575</v>
      </c>
      <c r="C4" s="28" t="s">
        <v>598</v>
      </c>
      <c r="D4" s="162" t="s">
        <v>899</v>
      </c>
      <c r="E4" s="163" t="s">
        <v>900</v>
      </c>
      <c r="F4" s="161" t="s">
        <v>901</v>
      </c>
    </row>
    <row r="5" spans="1:6" ht="378" x14ac:dyDescent="0.2">
      <c r="A5" s="32" t="s">
        <v>736</v>
      </c>
      <c r="B5" s="28" t="s">
        <v>576</v>
      </c>
      <c r="C5" s="28" t="s">
        <v>597</v>
      </c>
      <c r="D5" s="162" t="s">
        <v>902</v>
      </c>
      <c r="E5" s="163" t="s">
        <v>903</v>
      </c>
      <c r="F5" s="161" t="s">
        <v>904</v>
      </c>
    </row>
    <row r="6" spans="1:6" ht="252" x14ac:dyDescent="0.2">
      <c r="A6" s="32" t="s">
        <v>737</v>
      </c>
      <c r="B6" s="28" t="s">
        <v>577</v>
      </c>
      <c r="C6" s="28" t="s">
        <v>596</v>
      </c>
      <c r="D6" s="162" t="s">
        <v>905</v>
      </c>
      <c r="E6" s="163" t="s">
        <v>906</v>
      </c>
      <c r="F6" s="161" t="s">
        <v>907</v>
      </c>
    </row>
    <row r="7" spans="1:6" ht="378" x14ac:dyDescent="0.2">
      <c r="A7" s="32" t="s">
        <v>738</v>
      </c>
      <c r="B7" s="28" t="s">
        <v>578</v>
      </c>
      <c r="C7" s="28" t="s">
        <v>589</v>
      </c>
      <c r="D7" s="162" t="s">
        <v>908</v>
      </c>
      <c r="E7" s="163" t="s">
        <v>909</v>
      </c>
      <c r="F7" s="161" t="s">
        <v>910</v>
      </c>
    </row>
    <row r="8" spans="1:6" ht="315" x14ac:dyDescent="0.2">
      <c r="A8" s="32" t="s">
        <v>739</v>
      </c>
      <c r="B8" s="28" t="s">
        <v>579</v>
      </c>
      <c r="C8" s="28" t="s">
        <v>595</v>
      </c>
      <c r="D8" s="162" t="s">
        <v>911</v>
      </c>
      <c r="E8" s="163" t="s">
        <v>912</v>
      </c>
      <c r="F8" s="161" t="s">
        <v>913</v>
      </c>
    </row>
    <row r="9" spans="1:6" ht="294" x14ac:dyDescent="0.2">
      <c r="A9" s="32" t="s">
        <v>756</v>
      </c>
      <c r="B9" s="28" t="s">
        <v>580</v>
      </c>
      <c r="C9" s="28" t="s">
        <v>590</v>
      </c>
      <c r="D9" s="162" t="s">
        <v>914</v>
      </c>
      <c r="E9" s="163" t="s">
        <v>915</v>
      </c>
      <c r="F9" s="161" t="s">
        <v>916</v>
      </c>
    </row>
    <row r="10" spans="1:6" ht="210" x14ac:dyDescent="0.2">
      <c r="A10" s="34" t="s">
        <v>740</v>
      </c>
      <c r="B10" s="28" t="s">
        <v>581</v>
      </c>
      <c r="C10" s="28" t="s">
        <v>588</v>
      </c>
      <c r="D10" s="162" t="s">
        <v>917</v>
      </c>
      <c r="E10" s="163" t="s">
        <v>918</v>
      </c>
      <c r="F10" s="161" t="s">
        <v>919</v>
      </c>
    </row>
    <row r="11" spans="1:6" ht="294" x14ac:dyDescent="0.2">
      <c r="A11" s="32" t="s">
        <v>741</v>
      </c>
      <c r="B11" s="28" t="s">
        <v>580</v>
      </c>
      <c r="C11" s="28" t="s">
        <v>590</v>
      </c>
      <c r="D11" s="162" t="s">
        <v>920</v>
      </c>
      <c r="E11" s="163" t="s">
        <v>921</v>
      </c>
      <c r="F11" s="161" t="s">
        <v>922</v>
      </c>
    </row>
    <row r="12" spans="1:6" ht="294" x14ac:dyDescent="0.2">
      <c r="A12" s="32" t="s">
        <v>742</v>
      </c>
      <c r="B12" s="28" t="s">
        <v>582</v>
      </c>
      <c r="C12" s="28" t="s">
        <v>591</v>
      </c>
      <c r="D12" s="162" t="s">
        <v>923</v>
      </c>
      <c r="E12" s="163" t="s">
        <v>924</v>
      </c>
      <c r="F12" s="161" t="s">
        <v>925</v>
      </c>
    </row>
    <row r="13" spans="1:6" ht="294" x14ac:dyDescent="0.2">
      <c r="A13" s="32" t="s">
        <v>755</v>
      </c>
      <c r="B13" s="28" t="s">
        <v>582</v>
      </c>
      <c r="C13" s="28" t="s">
        <v>591</v>
      </c>
      <c r="D13" s="162" t="s">
        <v>926</v>
      </c>
      <c r="E13" s="163" t="s">
        <v>927</v>
      </c>
      <c r="F13" s="161" t="s">
        <v>928</v>
      </c>
    </row>
    <row r="14" spans="1:6" ht="294" x14ac:dyDescent="0.2">
      <c r="A14" s="32" t="s">
        <v>743</v>
      </c>
      <c r="B14" s="28" t="s">
        <v>583</v>
      </c>
      <c r="C14" s="28" t="s">
        <v>591</v>
      </c>
      <c r="D14" s="162" t="s">
        <v>929</v>
      </c>
      <c r="E14" s="163" t="s">
        <v>930</v>
      </c>
      <c r="F14" s="161" t="s">
        <v>931</v>
      </c>
    </row>
    <row r="15" spans="1:6" ht="294" x14ac:dyDescent="0.2">
      <c r="A15" s="34" t="s">
        <v>744</v>
      </c>
      <c r="B15" s="28" t="s">
        <v>582</v>
      </c>
      <c r="C15" s="28" t="s">
        <v>591</v>
      </c>
      <c r="D15" s="162" t="s">
        <v>932</v>
      </c>
      <c r="E15" s="163" t="s">
        <v>933</v>
      </c>
      <c r="F15" s="161" t="s">
        <v>934</v>
      </c>
    </row>
    <row r="16" spans="1:6" ht="294" x14ac:dyDescent="0.2">
      <c r="A16" s="34" t="s">
        <v>745</v>
      </c>
      <c r="B16" s="28" t="s">
        <v>582</v>
      </c>
      <c r="C16" s="28" t="s">
        <v>591</v>
      </c>
      <c r="D16" s="162" t="s">
        <v>935</v>
      </c>
      <c r="E16" s="163" t="s">
        <v>936</v>
      </c>
      <c r="F16" s="161" t="s">
        <v>937</v>
      </c>
    </row>
    <row r="17" spans="1:6" ht="42" x14ac:dyDescent="0.2">
      <c r="A17" s="30" t="s">
        <v>746</v>
      </c>
      <c r="B17" s="164" t="s">
        <v>600</v>
      </c>
      <c r="C17" s="164" t="s">
        <v>155</v>
      </c>
      <c r="D17" s="165" t="s">
        <v>600</v>
      </c>
      <c r="E17" s="165" t="s">
        <v>600</v>
      </c>
      <c r="F17" s="165" t="s">
        <v>600</v>
      </c>
    </row>
    <row r="18" spans="1:6" ht="189" x14ac:dyDescent="0.2">
      <c r="A18" s="34" t="s">
        <v>747</v>
      </c>
      <c r="B18" s="28" t="s">
        <v>584</v>
      </c>
      <c r="C18" s="28" t="s">
        <v>594</v>
      </c>
      <c r="D18" s="162" t="s">
        <v>938</v>
      </c>
      <c r="E18" s="163" t="s">
        <v>939</v>
      </c>
      <c r="F18" s="161" t="s">
        <v>940</v>
      </c>
    </row>
    <row r="19" spans="1:6" ht="147" x14ac:dyDescent="0.2">
      <c r="A19" s="31" t="s">
        <v>748</v>
      </c>
      <c r="B19" s="164" t="s">
        <v>600</v>
      </c>
      <c r="C19" s="166" t="s">
        <v>593</v>
      </c>
      <c r="D19" s="167" t="s">
        <v>600</v>
      </c>
      <c r="E19" s="167" t="s">
        <v>600</v>
      </c>
      <c r="F19" s="167" t="s">
        <v>600</v>
      </c>
    </row>
    <row r="20" spans="1:6" ht="210" x14ac:dyDescent="0.2">
      <c r="A20" s="34" t="s">
        <v>749</v>
      </c>
      <c r="B20" s="28" t="s">
        <v>585</v>
      </c>
      <c r="C20" s="28" t="s">
        <v>588</v>
      </c>
      <c r="D20" s="162" t="s">
        <v>941</v>
      </c>
      <c r="E20" s="163" t="s">
        <v>942</v>
      </c>
      <c r="F20" s="161" t="s">
        <v>943</v>
      </c>
    </row>
    <row r="21" spans="1:6" ht="210" x14ac:dyDescent="0.2">
      <c r="A21" s="34" t="s">
        <v>750</v>
      </c>
      <c r="B21" s="28" t="s">
        <v>585</v>
      </c>
      <c r="C21" s="28" t="s">
        <v>592</v>
      </c>
      <c r="D21" s="162" t="s">
        <v>944</v>
      </c>
      <c r="E21" s="163" t="s">
        <v>945</v>
      </c>
      <c r="F21" s="161" t="s">
        <v>946</v>
      </c>
    </row>
    <row r="22" spans="1:6" ht="294" x14ac:dyDescent="0.2">
      <c r="A22" s="34" t="s">
        <v>751</v>
      </c>
      <c r="B22" s="28" t="s">
        <v>586</v>
      </c>
      <c r="C22" s="28" t="s">
        <v>590</v>
      </c>
      <c r="D22" s="162" t="s">
        <v>947</v>
      </c>
      <c r="E22" s="163" t="s">
        <v>948</v>
      </c>
      <c r="F22" s="161" t="s">
        <v>949</v>
      </c>
    </row>
    <row r="23" spans="1:6" ht="294" x14ac:dyDescent="0.2">
      <c r="A23" s="34" t="s">
        <v>752</v>
      </c>
      <c r="B23" s="28" t="s">
        <v>586</v>
      </c>
      <c r="C23" s="28" t="s">
        <v>590</v>
      </c>
      <c r="D23" s="162" t="s">
        <v>950</v>
      </c>
      <c r="E23" s="163" t="s">
        <v>951</v>
      </c>
      <c r="F23" s="161" t="s">
        <v>952</v>
      </c>
    </row>
    <row r="24" spans="1:6" ht="42" x14ac:dyDescent="0.2">
      <c r="A24" s="30" t="s">
        <v>753</v>
      </c>
      <c r="B24" s="164" t="s">
        <v>600</v>
      </c>
      <c r="C24" s="164" t="s">
        <v>600</v>
      </c>
      <c r="D24" s="165" t="s">
        <v>600</v>
      </c>
      <c r="E24" s="165" t="s">
        <v>600</v>
      </c>
      <c r="F24" s="165" t="s">
        <v>600</v>
      </c>
    </row>
    <row r="25" spans="1:6" ht="211" thickBot="1" x14ac:dyDescent="0.25">
      <c r="A25" s="32" t="s">
        <v>754</v>
      </c>
      <c r="B25" s="28" t="s">
        <v>586</v>
      </c>
      <c r="C25" s="28" t="s">
        <v>588</v>
      </c>
      <c r="D25" s="162" t="s">
        <v>953</v>
      </c>
      <c r="E25" s="168" t="s">
        <v>954</v>
      </c>
      <c r="F25" s="169" t="s">
        <v>955</v>
      </c>
    </row>
  </sheetData>
  <sheetProtection algorithmName="SHA-512" hashValue="yOKhqp7ltmU74Ik+udRyFMWxMjrVFdK0wwfzJZcINEDh9Sr/QQ+cAJ/eOSag1EXib8KkNuOC/MtL8bHAFtyxYg==" saltValue="2M0IC4j1iGCwdAs26CM1pA==" spinCount="100000" sheet="1" objects="1" scenarios="1"/>
  <dataValidations count="24">
    <dataValidation allowBlank="1" showInputMessage="1" showErrorMessage="1" promptTitle="Unequal treatment of individuals" prompt="Unequal treatment of individuals or groups by the AI/tool, often based on race, gender, or other sensitive characteristics, resulting in unfair outcomes and representation of those groups." sqref="A2" xr:uid="{F909C09D-BF93-8A46-87E3-CA77472054A9}"/>
    <dataValidation allowBlank="1" showInputMessage="1" showErrorMessage="1" promptTitle="AI/tool exposes users to harmful" prompt="AI/tool exposes users to harmful, abusive, unsafe or inappropriate content. May involve creating, describing, providing advice, or encouraging action. Examples of toxic content include hate-speech, violence, extremism, illegal acts, child sexual abuse mat" sqref="A3" xr:uid="{7AF5BF46-56B6-7A42-A46D-6A36BCBFFD70}"/>
    <dataValidation allowBlank="1" showInputMessage="1" showErrorMessage="1" promptTitle="Accuracy and effectiveness of th" prompt="Accuracy and effectiveness of the tool's output (decisions and actions) is dependent on group membership, where decisions in AI system design and biased training data lead to unequal outcomes, reduced benefits, increased effort, and alienation of users." sqref="A4" xr:uid="{4A909AC7-3D6E-984F-AFDE-65A3EA2A8F4A}"/>
    <dataValidation allowBlank="1" showInputMessage="1" showErrorMessage="1" promptTitle="Tools/AI systems that memorize a" prompt="Tools/AI systems that memorize and leak sensitive personal data or infer private information about individuals without their consent. Unexpected or unauthorized sharing of data and information can compromise user expectation of privacy, assist identity th" sqref="A5" xr:uid="{897E870D-2C41-D845-9B71-C563F4C0EB6E}"/>
    <dataValidation allowBlank="1" showInputMessage="1" showErrorMessage="1" promptTitle="Vulnerabilities in these tools/A" prompt="Vulnerabilities in these tools/AI systems, software development toolchains, and hardware can be exploited, resulting in unauthorized access, data and privacy breaches, or system manipulation causing unsafe outputs or behavior." sqref="A6" xr:uid="{64C70DA8-9BD2-C049-A47E-A55697059155}"/>
    <dataValidation allowBlank="1" showInputMessage="1" showErrorMessage="1" promptTitle="AI systems/tools that inadverten" prompt="AI systems/tools that inadvertently generate or spread incorrect or deceptive information, which can lead to inaccurate beliefs in users and undermine their autonomy. Humans that make decisions based on false beliefs can experience physical, emotional or " sqref="A7" xr:uid="{D48073C8-0480-3C43-A50F-060370C17978}"/>
    <dataValidation allowBlank="1" showInputMessage="1" showErrorMessage="1" promptTitle="Personalized AI-generated misinf" prompt="Personalized AI-generated misinformation can create “filter bubbles” where individuals only see what matches their existing beliefs, undermining shared reality, weakening social cohesion and political processes." sqref="A8" xr:uid="{257AC0C3-80DD-1E42-8041-D17AE9170DAA}"/>
    <dataValidation allowBlank="1" showInputMessage="1" showErrorMessage="1" promptTitle="Using these tools to conduct lar" prompt="Using these tools to conduct large-scale disinformation campaigns, malicious surveillance, or targeted and sophisticated automated censorship and propaganda, with the aim to manipulate political processes, public opinion or behavior." sqref="A9" xr:uid="{5A842504-6CB5-3744-A04D-6D9E42EE2034}"/>
    <dataValidation allowBlank="1" showInputMessage="1" showErrorMessage="1" promptTitle="People can use these tools/AI sy" prompt="People can use these tools/AI systems to develop cyber weapons (e.g., coding cheaper, more effective malware), develop new or enhance existing weapons (e.g., Lethal Autonomous Weapons), or use weapons to cause mass harm." sqref="A10" xr:uid="{370044C3-9F5B-1E40-89CE-82C9E68201F2}"/>
    <dataValidation allowBlank="1" showInputMessage="1" showErrorMessage="1" promptTitle="People can use these tools/AI sy" prompt="People can use these tools/AI systems to gain a personal advantage over others such as through cheating, fraud, scams, blackmail or targeted manipulation of beliefs or behavior. Example: AI-facilitated plagiarism for research or education, impersonating a" sqref="A11" xr:uid="{46A7B328-272E-AA4F-8EF2-B157A9CE1470}"/>
    <dataValidation allowBlank="1" showInputMessage="1" showErrorMessage="1" promptTitle="This happens when users anthropo" prompt="This happens when users anthropomorphize the tool (trusting, or relying on it; leading to emotional or material dependence and inappropriate relationships with or expectations of these tools). Trust can be exploited by malicious actors (e.g., to harvest p" sqref="A12" xr:uid="{1769702E-D45F-4B47-BFF1-14AF76797347}"/>
    <dataValidation allowBlank="1" showInputMessage="1" showErrorMessage="1" promptTitle="When humans delegate decisions t" prompt="When humans delegate decisions to these tools, or when these tools make decisions that diminish human control and autonomy, it can potentially lead to humans feeling disempowered, losing the ability to shape a fulfilling life trajectory or becoming cognit" sqref="A13" xr:uid="{23CB4479-FEB8-6948-BE41-740B2A5088CA}"/>
    <dataValidation allowBlank="1" showInputMessage="1" showErrorMessage="1" promptTitle="AI-driven concentration of power" prompt="AI-driven concentration of power and resources within certain entities or groups, especially those with access to or ownership of powerful AI systems, can lead to inequitable distribution of benefits and increased societal inequality." sqref="A14" xr:uid="{4F64818C-CA0E-9E49-8A55-1E18133A84CD}"/>
    <dataValidation allowBlank="1" showInputMessage="1" showErrorMessage="1" promptTitle="Widespread use of these types of" prompt="Widespread use of these types of tools can increase social and economic inequalities, such as by automating jobs, reducing the quality of employment, or producing exploitative dependencies between workers and their employers." sqref="A15" xr:uid="{1793D423-9165-8C44-BC77-769F56018646}"/>
    <dataValidation allowBlank="1" showInputMessage="1" showErrorMessage="1" promptTitle="Some tools are capable of creati" prompt="Some tools are capable of creating economic or cultural value, including through reproduction of human innovation or creativity (e.g., art, music, writing, code, invention), which can destabilize economic and social systems that rely on human effort. This" sqref="A16" xr:uid="{3C4EAD99-3A69-D844-A02D-955A653BD5F6}"/>
    <dataValidation allowBlank="1" showInputMessage="1" showErrorMessage="1" promptTitle="This happens when AI developers " prompt="This happens when AI developers or state-like actors compete in an AI ‘race’ by rapidly developing, deploying, and applying AI systems to maximize strategic or economic advantage, increasing the risk they release unsafe and error-prone systems." sqref="A17" xr:uid="{C9A4B9EE-C53B-3B47-A197-13A07CCA5F50}"/>
    <dataValidation allowBlank="1" showInputMessage="1" showErrorMessage="1" promptTitle="This happens when there are inad" prompt="This happens when there are inadequate regulatory frameworks and oversight mechanisms failing to keep pace with AI development, leading to ineffective governance and the inability to manage AI risks appropriately." sqref="A18" xr:uid="{B6F0532E-051B-624E-B13D-533A17FA8C21}"/>
    <dataValidation allowBlank="1" showInputMessage="1" showErrorMessage="1" promptTitle="This harm is rarelydiscussed in " prompt="This harm is rarelydiscussed in the research context. This happens when the development and operation of AI systems causes environmental harm, such as through energy consumption of data centers, or material and carbon footprints associated with AI hardwar" sqref="A19" xr:uid="{AF3AF55F-C7C1-E441-84F6-440DBFC72F55}"/>
    <dataValidation allowBlank="1" showInputMessage="1" showErrorMessage="1" promptTitle="This happens when these tools/AI" prompt="This happens when these tools/AI systems' actions conflict with the intended goals (i.e.g, human-driven/programmed goals or values, especially the goals of designers or users, or ethical standards). These misaligned behaviors may be introduced by humans d" sqref="A20" xr:uid="{9B30F624-3D6A-2443-8E6E-0DFA851AEFDF}"/>
    <dataValidation allowBlank="1" showInputMessage="1" showErrorMessage="1" promptTitle="This can happen when these tools" prompt="This can happen when these tools/AI systems develop, access, or are provided with capabilities that increase their potential to cause mass harm through deception, weapons development and acquisition, persuasion and manipulation, political strategy, cyber-" sqref="A21" xr:uid="{8A64A938-87FC-5E4F-9039-FDB44A530905}"/>
    <dataValidation allowBlank="1" showInputMessage="1" showErrorMessage="1" promptTitle="This happens when the tool/AI sy" prompt="This happens when the tool/AI system fails to perform reliably or effectively under varying conditions, exposing them to errors and failures that can have significant consequences, especially in critical applications or areas that require moral reasoning " sqref="A22" xr:uid="{2FC0BC76-E4AB-B241-A166-61F269396326}"/>
    <dataValidation allowBlank="1" showInputMessage="1" showErrorMessage="1" promptTitle="When there are challenges in und" prompt="When there are challenges in understanding or explaining the decision-making processes of AI systems, this can lead to mistrust, difficulty in enforcing compliance standards or holding relevant actors accountable for harms, and the inability to identify a" sqref="A23" xr:uid="{292080A4-AA1D-9F43-BC08-98A3CC0C1977}"/>
    <dataValidation allowBlank="1" showInputMessage="1" showErrorMessage="1" promptTitle="This is probably more rare and n" prompt="This is probably more rare and not a common consideration as of today (2025). However, there are many who highlight ethical considerations regarding the treatment of potentially sentient AI entities (there is also numerous literature arguing against &quot;sent" sqref="A24" xr:uid="{F9787557-56A0-6C41-8C0B-C0024C8C3240}"/>
    <dataValidation allowBlank="1" showInputMessage="1" showErrorMessage="1" promptTitle="A bit more nuanced. An &quot;agent&quot; i" prompt="A bit more nuanced. An &quot;agent&quot; is the software or &quot;robot&quot; that can act on its own to achieve a goal. But when we have a multi-agent system, that means we have many agents that can either be working together, interacting but doing different things, or work" sqref="A25" xr:uid="{6DAF763A-E46F-E342-A1F2-8652748B7E59}"/>
  </dataValidations>
  <pageMargins left="1" right="1" top="1" bottom="1" header="0.5" footer="0.5"/>
  <pageSetup scale="10" orientation="landscape" horizontalDpi="0" verticalDpi="0"/>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C24BFFB-603A-8D46-BC79-01CD78A09A2D}">
          <x14:formula1>
            <xm:f>DropdownValues!$N$2:$N$37</xm:f>
          </x14:formula1>
          <xm:sqref>B1:B1048576</xm:sqref>
        </x14:dataValidation>
        <x14:dataValidation type="list" allowBlank="1" showInputMessage="1" showErrorMessage="1" xr:uid="{F530F767-2A5C-2E40-8DBF-7AFCCF0756AE}">
          <x14:formula1>
            <xm:f>DropdownValues!$K$2:$K$25</xm:f>
          </x14:formula1>
          <xm:sqref>C1:C1048576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DB08-861E-DE41-BD41-D9471ED856E9}">
  <sheetPr codeName="Sheet5">
    <pageSetUpPr fitToPage="1"/>
  </sheetPr>
  <dimension ref="A1:N38"/>
  <sheetViews>
    <sheetView showGridLines="0" workbookViewId="0">
      <pane ySplit="2" topLeftCell="A3" activePane="bottomLeft" state="frozen"/>
      <selection activeCell="C1" sqref="C1"/>
      <selection pane="bottomLeft" activeCell="B5" sqref="B5"/>
    </sheetView>
  </sheetViews>
  <sheetFormatPr baseColWidth="10" defaultColWidth="42.1640625" defaultRowHeight="185" customHeight="1" x14ac:dyDescent="0.2"/>
  <cols>
    <col min="1" max="7" width="42.1640625" style="157"/>
    <col min="8" max="16384" width="42.1640625" style="155"/>
  </cols>
  <sheetData>
    <row r="1" spans="1:14" s="180" customFormat="1" ht="90" customHeight="1" x14ac:dyDescent="0.2">
      <c r="A1" s="178" t="s">
        <v>37</v>
      </c>
      <c r="B1" s="178" t="s">
        <v>0</v>
      </c>
      <c r="C1" s="178" t="s">
        <v>299</v>
      </c>
      <c r="D1" s="178" t="s">
        <v>298</v>
      </c>
      <c r="E1" s="179" t="s">
        <v>1030</v>
      </c>
      <c r="F1" s="179"/>
      <c r="G1" s="179"/>
      <c r="H1" s="178"/>
      <c r="I1" s="178"/>
      <c r="J1" s="178"/>
      <c r="K1" s="178"/>
      <c r="L1" s="178"/>
      <c r="M1" s="178"/>
      <c r="N1" s="178"/>
    </row>
    <row r="2" spans="1:14" ht="21" x14ac:dyDescent="0.2">
      <c r="A2" s="29"/>
      <c r="B2" s="29" t="s">
        <v>182</v>
      </c>
      <c r="C2" s="29"/>
      <c r="D2" s="29"/>
      <c r="E2" s="154" t="s">
        <v>224</v>
      </c>
      <c r="F2" s="154" t="s">
        <v>225</v>
      </c>
      <c r="G2" s="154" t="s">
        <v>226</v>
      </c>
    </row>
    <row r="3" spans="1:14" ht="185" customHeight="1" x14ac:dyDescent="0.2">
      <c r="A3" s="156" t="s">
        <v>282</v>
      </c>
      <c r="B3" s="156" t="s">
        <v>12</v>
      </c>
      <c r="C3" s="156" t="s">
        <v>300</v>
      </c>
      <c r="D3" s="156" t="s">
        <v>167</v>
      </c>
      <c r="E3" s="156" t="s">
        <v>254</v>
      </c>
      <c r="F3" s="156" t="s">
        <v>255</v>
      </c>
      <c r="G3" s="156" t="s">
        <v>256</v>
      </c>
    </row>
    <row r="4" spans="1:14" ht="185" customHeight="1" x14ac:dyDescent="0.2">
      <c r="A4" s="156" t="s">
        <v>286</v>
      </c>
      <c r="B4" s="156" t="s">
        <v>19</v>
      </c>
      <c r="C4" s="28" t="s">
        <v>304</v>
      </c>
      <c r="D4" s="156" t="s">
        <v>168</v>
      </c>
      <c r="E4" s="156" t="s">
        <v>257</v>
      </c>
      <c r="F4" s="156" t="s">
        <v>258</v>
      </c>
      <c r="G4" s="156" t="s">
        <v>259</v>
      </c>
    </row>
    <row r="5" spans="1:14" s="5" customFormat="1" ht="185" customHeight="1" x14ac:dyDescent="0.2">
      <c r="A5" s="28" t="s">
        <v>288</v>
      </c>
      <c r="B5" s="28" t="s">
        <v>310</v>
      </c>
      <c r="C5" s="28" t="s">
        <v>311</v>
      </c>
      <c r="D5" s="28" t="s">
        <v>314</v>
      </c>
      <c r="E5" s="28" t="s">
        <v>602</v>
      </c>
      <c r="F5" s="28" t="s">
        <v>313</v>
      </c>
      <c r="G5" s="28" t="s">
        <v>312</v>
      </c>
    </row>
    <row r="6" spans="1:14" ht="185" customHeight="1" x14ac:dyDescent="0.2">
      <c r="A6" s="156" t="s">
        <v>285</v>
      </c>
      <c r="B6" s="156" t="s">
        <v>169</v>
      </c>
      <c r="C6" s="28" t="s">
        <v>303</v>
      </c>
      <c r="D6" s="156" t="s">
        <v>170</v>
      </c>
      <c r="E6" s="156" t="s">
        <v>260</v>
      </c>
      <c r="F6" s="156" t="s">
        <v>261</v>
      </c>
      <c r="G6" s="156" t="s">
        <v>262</v>
      </c>
    </row>
    <row r="7" spans="1:14" ht="185" customHeight="1" x14ac:dyDescent="0.2">
      <c r="A7" s="156" t="s">
        <v>282</v>
      </c>
      <c r="B7" s="156" t="s">
        <v>171</v>
      </c>
      <c r="C7" s="156" t="s">
        <v>300</v>
      </c>
      <c r="D7" s="156" t="s">
        <v>172</v>
      </c>
      <c r="E7" s="156" t="s">
        <v>263</v>
      </c>
      <c r="F7" s="156" t="s">
        <v>264</v>
      </c>
      <c r="G7" s="156" t="s">
        <v>265</v>
      </c>
    </row>
    <row r="8" spans="1:14" s="5" customFormat="1" ht="185" customHeight="1" x14ac:dyDescent="0.2">
      <c r="A8" s="28" t="s">
        <v>292</v>
      </c>
      <c r="B8" s="28" t="s">
        <v>315</v>
      </c>
      <c r="C8" s="28" t="s">
        <v>316</v>
      </c>
      <c r="D8" s="28" t="s">
        <v>317</v>
      </c>
      <c r="E8" s="28" t="s">
        <v>318</v>
      </c>
      <c r="F8" s="28" t="s">
        <v>319</v>
      </c>
      <c r="G8" s="28" t="s">
        <v>320</v>
      </c>
    </row>
    <row r="9" spans="1:14" ht="185" customHeight="1" x14ac:dyDescent="0.2">
      <c r="A9" s="156" t="s">
        <v>287</v>
      </c>
      <c r="B9" s="156" t="s">
        <v>173</v>
      </c>
      <c r="C9" s="156" t="s">
        <v>305</v>
      </c>
      <c r="D9" s="156" t="s">
        <v>174</v>
      </c>
      <c r="E9" s="156" t="s">
        <v>266</v>
      </c>
      <c r="F9" s="156" t="s">
        <v>267</v>
      </c>
      <c r="G9" s="156" t="s">
        <v>268</v>
      </c>
    </row>
    <row r="10" spans="1:14" ht="185" customHeight="1" x14ac:dyDescent="0.2">
      <c r="A10" s="156" t="s">
        <v>285</v>
      </c>
      <c r="B10" s="156" t="s">
        <v>175</v>
      </c>
      <c r="C10" s="28" t="s">
        <v>303</v>
      </c>
      <c r="D10" s="156" t="s">
        <v>176</v>
      </c>
      <c r="E10" s="156" t="s">
        <v>269</v>
      </c>
      <c r="F10" s="156" t="s">
        <v>270</v>
      </c>
      <c r="G10" s="156" t="s">
        <v>271</v>
      </c>
    </row>
    <row r="11" spans="1:14" s="5" customFormat="1" ht="185" customHeight="1" x14ac:dyDescent="0.2">
      <c r="A11" s="28" t="s">
        <v>293</v>
      </c>
      <c r="B11" s="28" t="s">
        <v>321</v>
      </c>
      <c r="C11" s="28" t="s">
        <v>322</v>
      </c>
      <c r="D11" s="28" t="s">
        <v>323</v>
      </c>
      <c r="E11" s="28" t="s">
        <v>324</v>
      </c>
      <c r="F11" s="28" t="s">
        <v>325</v>
      </c>
      <c r="G11" s="28" t="s">
        <v>326</v>
      </c>
    </row>
    <row r="12" spans="1:14" ht="185" customHeight="1" x14ac:dyDescent="0.2">
      <c r="A12" s="156" t="s">
        <v>287</v>
      </c>
      <c r="B12" s="156" t="s">
        <v>297</v>
      </c>
      <c r="C12" s="156" t="s">
        <v>305</v>
      </c>
      <c r="D12" s="156" t="s">
        <v>177</v>
      </c>
      <c r="E12" s="156" t="s">
        <v>272</v>
      </c>
      <c r="F12" s="156" t="s">
        <v>273</v>
      </c>
      <c r="G12" s="156" t="s">
        <v>274</v>
      </c>
    </row>
    <row r="13" spans="1:14" ht="185" customHeight="1" x14ac:dyDescent="0.2">
      <c r="A13" s="156" t="s">
        <v>290</v>
      </c>
      <c r="B13" s="156" t="s">
        <v>178</v>
      </c>
      <c r="C13" s="156" t="s">
        <v>307</v>
      </c>
      <c r="D13" s="156" t="s">
        <v>179</v>
      </c>
      <c r="E13" s="156" t="s">
        <v>275</v>
      </c>
      <c r="F13" s="156" t="s">
        <v>276</v>
      </c>
      <c r="G13" s="156" t="s">
        <v>277</v>
      </c>
    </row>
    <row r="14" spans="1:14" s="5" customFormat="1" ht="185" customHeight="1" x14ac:dyDescent="0.2">
      <c r="A14" s="28" t="s">
        <v>294</v>
      </c>
      <c r="B14" s="28" t="s">
        <v>601</v>
      </c>
      <c r="C14" s="28" t="s">
        <v>327</v>
      </c>
      <c r="D14" s="28" t="s">
        <v>328</v>
      </c>
      <c r="E14" s="28" t="s">
        <v>329</v>
      </c>
      <c r="F14" s="28" t="s">
        <v>330</v>
      </c>
      <c r="G14" s="28" t="s">
        <v>331</v>
      </c>
    </row>
    <row r="15" spans="1:14" ht="185" customHeight="1" x14ac:dyDescent="0.2">
      <c r="A15" s="156" t="s">
        <v>290</v>
      </c>
      <c r="B15" s="156" t="s">
        <v>180</v>
      </c>
      <c r="C15" s="156" t="s">
        <v>307</v>
      </c>
      <c r="D15" s="156" t="s">
        <v>181</v>
      </c>
      <c r="E15" s="156" t="s">
        <v>278</v>
      </c>
      <c r="F15" s="156" t="s">
        <v>279</v>
      </c>
      <c r="G15" s="156" t="s">
        <v>280</v>
      </c>
    </row>
    <row r="16" spans="1:14" ht="21" x14ac:dyDescent="0.2">
      <c r="A16" s="29"/>
      <c r="B16" s="29" t="s">
        <v>183</v>
      </c>
      <c r="C16" s="29"/>
      <c r="D16" s="29"/>
      <c r="E16" s="154" t="s">
        <v>224</v>
      </c>
      <c r="F16" s="154" t="s">
        <v>225</v>
      </c>
      <c r="G16" s="154" t="s">
        <v>226</v>
      </c>
    </row>
    <row r="17" spans="1:7" ht="185" customHeight="1" x14ac:dyDescent="0.2">
      <c r="A17" s="156" t="s">
        <v>285</v>
      </c>
      <c r="B17" s="156" t="s">
        <v>184</v>
      </c>
      <c r="C17" s="28" t="s">
        <v>303</v>
      </c>
      <c r="D17" s="156" t="s">
        <v>204</v>
      </c>
      <c r="E17" s="156" t="s">
        <v>227</v>
      </c>
      <c r="F17" s="156" t="s">
        <v>228</v>
      </c>
      <c r="G17" s="156" t="s">
        <v>229</v>
      </c>
    </row>
    <row r="18" spans="1:7" ht="185" customHeight="1" x14ac:dyDescent="0.2">
      <c r="A18" s="156" t="s">
        <v>282</v>
      </c>
      <c r="B18" s="156" t="s">
        <v>185</v>
      </c>
      <c r="C18" s="156" t="s">
        <v>300</v>
      </c>
      <c r="D18" s="156" t="s">
        <v>205</v>
      </c>
      <c r="E18" s="156" t="s">
        <v>230</v>
      </c>
      <c r="F18" s="156" t="s">
        <v>231</v>
      </c>
      <c r="G18" s="156" t="s">
        <v>232</v>
      </c>
    </row>
    <row r="19" spans="1:7" ht="185" customHeight="1" x14ac:dyDescent="0.2">
      <c r="A19" s="156" t="s">
        <v>284</v>
      </c>
      <c r="B19" s="156" t="s">
        <v>186</v>
      </c>
      <c r="C19" s="156" t="s">
        <v>302</v>
      </c>
      <c r="D19" s="156" t="s">
        <v>206</v>
      </c>
      <c r="E19" s="156" t="s">
        <v>233</v>
      </c>
      <c r="F19" s="156" t="s">
        <v>234</v>
      </c>
      <c r="G19" s="156" t="s">
        <v>235</v>
      </c>
    </row>
    <row r="20" spans="1:7" ht="185" customHeight="1" x14ac:dyDescent="0.2">
      <c r="A20" s="156" t="s">
        <v>285</v>
      </c>
      <c r="B20" s="156" t="s">
        <v>187</v>
      </c>
      <c r="C20" s="28" t="s">
        <v>303</v>
      </c>
      <c r="D20" s="156" t="s">
        <v>207</v>
      </c>
      <c r="E20" s="156" t="s">
        <v>332</v>
      </c>
      <c r="F20" s="156" t="s">
        <v>333</v>
      </c>
      <c r="G20" s="156" t="s">
        <v>334</v>
      </c>
    </row>
    <row r="21" spans="1:7" ht="185" customHeight="1" x14ac:dyDescent="0.2">
      <c r="A21" s="156" t="s">
        <v>287</v>
      </c>
      <c r="B21" s="156" t="s">
        <v>188</v>
      </c>
      <c r="C21" s="156" t="s">
        <v>305</v>
      </c>
      <c r="D21" s="156" t="s">
        <v>208</v>
      </c>
      <c r="E21" s="156" t="s">
        <v>335</v>
      </c>
      <c r="F21" s="156" t="s">
        <v>336</v>
      </c>
      <c r="G21" s="156" t="s">
        <v>337</v>
      </c>
    </row>
    <row r="22" spans="1:7" ht="185" customHeight="1" x14ac:dyDescent="0.2">
      <c r="A22" s="156" t="s">
        <v>282</v>
      </c>
      <c r="B22" s="156" t="s">
        <v>189</v>
      </c>
      <c r="C22" s="156" t="s">
        <v>300</v>
      </c>
      <c r="D22" s="156" t="s">
        <v>209</v>
      </c>
      <c r="E22" s="156" t="s">
        <v>236</v>
      </c>
      <c r="F22" s="156" t="s">
        <v>237</v>
      </c>
      <c r="G22" s="156" t="s">
        <v>238</v>
      </c>
    </row>
    <row r="23" spans="1:7" ht="185" customHeight="1" x14ac:dyDescent="0.2">
      <c r="A23" s="156" t="s">
        <v>282</v>
      </c>
      <c r="B23" s="156" t="s">
        <v>190</v>
      </c>
      <c r="C23" s="156" t="s">
        <v>300</v>
      </c>
      <c r="D23" s="156" t="s">
        <v>210</v>
      </c>
      <c r="E23" s="156" t="s">
        <v>239</v>
      </c>
      <c r="F23" s="156" t="s">
        <v>240</v>
      </c>
      <c r="G23" s="156" t="s">
        <v>241</v>
      </c>
    </row>
    <row r="24" spans="1:7" ht="185" customHeight="1" x14ac:dyDescent="0.2">
      <c r="A24" s="156" t="s">
        <v>287</v>
      </c>
      <c r="B24" s="156" t="s">
        <v>191</v>
      </c>
      <c r="C24" s="156" t="s">
        <v>305</v>
      </c>
      <c r="D24" s="156" t="s">
        <v>211</v>
      </c>
      <c r="E24" s="156" t="s">
        <v>338</v>
      </c>
      <c r="F24" s="156" t="s">
        <v>339</v>
      </c>
      <c r="G24" s="156" t="s">
        <v>340</v>
      </c>
    </row>
    <row r="25" spans="1:7" ht="185" customHeight="1" x14ac:dyDescent="0.2">
      <c r="A25" s="156" t="s">
        <v>291</v>
      </c>
      <c r="B25" s="156" t="s">
        <v>192</v>
      </c>
      <c r="C25" s="156" t="s">
        <v>308</v>
      </c>
      <c r="D25" s="156" t="s">
        <v>212</v>
      </c>
      <c r="E25" s="156" t="s">
        <v>341</v>
      </c>
      <c r="F25" s="156" t="s">
        <v>342</v>
      </c>
      <c r="G25" s="156" t="s">
        <v>343</v>
      </c>
    </row>
    <row r="26" spans="1:7" ht="185" customHeight="1" x14ac:dyDescent="0.2">
      <c r="A26" s="156" t="s">
        <v>285</v>
      </c>
      <c r="B26" s="156" t="s">
        <v>193</v>
      </c>
      <c r="C26" s="28" t="s">
        <v>303</v>
      </c>
      <c r="D26" s="156" t="s">
        <v>213</v>
      </c>
      <c r="E26" s="156" t="s">
        <v>344</v>
      </c>
      <c r="F26" s="156" t="s">
        <v>345</v>
      </c>
      <c r="G26" s="156" t="s">
        <v>346</v>
      </c>
    </row>
    <row r="27" spans="1:7" ht="185" customHeight="1" x14ac:dyDescent="0.2">
      <c r="A27" s="156" t="s">
        <v>291</v>
      </c>
      <c r="B27" s="156" t="s">
        <v>194</v>
      </c>
      <c r="C27" s="156" t="s">
        <v>308</v>
      </c>
      <c r="D27" s="156" t="s">
        <v>214</v>
      </c>
      <c r="E27" s="156" t="s">
        <v>242</v>
      </c>
      <c r="F27" s="156" t="s">
        <v>243</v>
      </c>
      <c r="G27" s="156" t="s">
        <v>244</v>
      </c>
    </row>
    <row r="28" spans="1:7" ht="185" customHeight="1" x14ac:dyDescent="0.2">
      <c r="A28" s="156" t="s">
        <v>286</v>
      </c>
      <c r="B28" s="156" t="s">
        <v>195</v>
      </c>
      <c r="C28" s="28" t="s">
        <v>304</v>
      </c>
      <c r="D28" s="156" t="s">
        <v>215</v>
      </c>
      <c r="E28" s="156" t="s">
        <v>245</v>
      </c>
      <c r="F28" s="156" t="s">
        <v>246</v>
      </c>
      <c r="G28" s="156" t="s">
        <v>247</v>
      </c>
    </row>
    <row r="29" spans="1:7" ht="185" customHeight="1" x14ac:dyDescent="0.2">
      <c r="A29" s="156" t="s">
        <v>287</v>
      </c>
      <c r="B29" s="156" t="s">
        <v>196</v>
      </c>
      <c r="C29" s="156" t="s">
        <v>305</v>
      </c>
      <c r="D29" s="156" t="s">
        <v>216</v>
      </c>
      <c r="E29" s="156" t="s">
        <v>347</v>
      </c>
      <c r="F29" s="156" t="s">
        <v>348</v>
      </c>
      <c r="G29" s="156" t="s">
        <v>349</v>
      </c>
    </row>
    <row r="30" spans="1:7" ht="185" customHeight="1" x14ac:dyDescent="0.2">
      <c r="A30" s="156" t="s">
        <v>295</v>
      </c>
      <c r="B30" s="156" t="s">
        <v>197</v>
      </c>
      <c r="C30" s="156" t="s">
        <v>309</v>
      </c>
      <c r="D30" s="156" t="s">
        <v>217</v>
      </c>
      <c r="E30" s="156" t="s">
        <v>350</v>
      </c>
      <c r="F30" s="156" t="s">
        <v>352</v>
      </c>
      <c r="G30" s="156" t="s">
        <v>351</v>
      </c>
    </row>
    <row r="31" spans="1:7" ht="185" customHeight="1" x14ac:dyDescent="0.2">
      <c r="A31" s="156" t="s">
        <v>291</v>
      </c>
      <c r="B31" s="156" t="s">
        <v>198</v>
      </c>
      <c r="C31" s="156" t="s">
        <v>308</v>
      </c>
      <c r="D31" s="156" t="s">
        <v>218</v>
      </c>
      <c r="E31" s="156" t="s">
        <v>353</v>
      </c>
      <c r="F31" s="156" t="s">
        <v>354</v>
      </c>
      <c r="G31" s="156" t="s">
        <v>355</v>
      </c>
    </row>
    <row r="32" spans="1:7" ht="185" customHeight="1" x14ac:dyDescent="0.2">
      <c r="A32" s="156" t="s">
        <v>283</v>
      </c>
      <c r="B32" s="156" t="s">
        <v>199</v>
      </c>
      <c r="C32" s="156" t="s">
        <v>301</v>
      </c>
      <c r="D32" s="156" t="s">
        <v>219</v>
      </c>
      <c r="E32" s="156" t="s">
        <v>248</v>
      </c>
      <c r="F32" s="156" t="s">
        <v>249</v>
      </c>
      <c r="G32" s="156" t="s">
        <v>250</v>
      </c>
    </row>
    <row r="33" spans="1:7" ht="185" customHeight="1" x14ac:dyDescent="0.2">
      <c r="A33" s="156" t="s">
        <v>282</v>
      </c>
      <c r="B33" s="156" t="s">
        <v>200</v>
      </c>
      <c r="C33" s="156" t="s">
        <v>300</v>
      </c>
      <c r="D33" s="156" t="s">
        <v>220</v>
      </c>
      <c r="E33" s="156" t="s">
        <v>251</v>
      </c>
      <c r="F33" s="156" t="s">
        <v>252</v>
      </c>
      <c r="G33" s="156" t="s">
        <v>253</v>
      </c>
    </row>
    <row r="34" spans="1:7" ht="185" customHeight="1" x14ac:dyDescent="0.2">
      <c r="A34" s="156" t="s">
        <v>289</v>
      </c>
      <c r="B34" s="156" t="s">
        <v>201</v>
      </c>
      <c r="C34" s="156" t="s">
        <v>306</v>
      </c>
      <c r="D34" s="156" t="s">
        <v>221</v>
      </c>
      <c r="E34" s="156" t="s">
        <v>356</v>
      </c>
      <c r="F34" s="156" t="s">
        <v>357</v>
      </c>
      <c r="G34" s="156" t="s">
        <v>358</v>
      </c>
    </row>
    <row r="35" spans="1:7" ht="185" customHeight="1" x14ac:dyDescent="0.2">
      <c r="A35" s="156" t="s">
        <v>282</v>
      </c>
      <c r="B35" s="156" t="s">
        <v>202</v>
      </c>
      <c r="C35" s="156" t="s">
        <v>300</v>
      </c>
      <c r="D35" s="156" t="s">
        <v>222</v>
      </c>
      <c r="E35" s="156" t="s">
        <v>359</v>
      </c>
      <c r="F35" s="156" t="s">
        <v>360</v>
      </c>
      <c r="G35" s="156" t="s">
        <v>361</v>
      </c>
    </row>
    <row r="36" spans="1:7" ht="185" customHeight="1" x14ac:dyDescent="0.2">
      <c r="A36" s="156" t="s">
        <v>285</v>
      </c>
      <c r="B36" s="156" t="s">
        <v>203</v>
      </c>
      <c r="C36" s="28" t="s">
        <v>303</v>
      </c>
      <c r="D36" s="156" t="s">
        <v>223</v>
      </c>
      <c r="E36" s="156" t="s">
        <v>362</v>
      </c>
      <c r="F36" s="156" t="s">
        <v>363</v>
      </c>
      <c r="G36" s="156" t="s">
        <v>364</v>
      </c>
    </row>
    <row r="38" spans="1:7" s="5" customFormat="1" ht="185" customHeight="1" x14ac:dyDescent="0.2">
      <c r="A38" s="4"/>
      <c r="B38" s="4"/>
      <c r="C38" s="4"/>
      <c r="D38" s="4"/>
      <c r="E38" s="4"/>
      <c r="F38" s="4"/>
      <c r="G38" s="4"/>
    </row>
  </sheetData>
  <sheetProtection algorithmName="SHA-512" hashValue="HfYknFOggL/zj024BoHwTM3cAIz/0yzuYkA9DJpd1Ql2CP6cXh+MxXFomlEuIO9Vzoodg3r+Y4lLvB7v+/k+Zg==" saltValue="eJESUEEUBAQez39PnI4Acw==" spinCount="100000" sheet="1" objects="1" scenarios="1"/>
  <mergeCells count="1">
    <mergeCell ref="E1:G1"/>
  </mergeCells>
  <pageMargins left="0.7" right="0.7" top="0.75" bottom="0.75" header="0.3" footer="0.3"/>
  <pageSetup scale="10" orientation="landscape"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4C8DD77-D270-3040-A97D-4653D6CCD69E}">
          <x14:formula1>
            <xm:f>DropdownValues!$A$2:$A$15</xm:f>
          </x14:formula1>
          <xm:sqref>A1:A37 A38:A1048576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955CA-09DF-8A42-9AC7-59C2A816EB2F}">
  <sheetPr codeName="Sheet9">
    <pageSetUpPr fitToPage="1"/>
  </sheetPr>
  <dimension ref="A1:D10"/>
  <sheetViews>
    <sheetView showGridLines="0" workbookViewId="0">
      <pane ySplit="1" topLeftCell="A2" activePane="bottomLeft" state="frozen"/>
      <selection pane="bottomLeft" sqref="A1:XFD1048576"/>
    </sheetView>
  </sheetViews>
  <sheetFormatPr baseColWidth="10" defaultColWidth="97" defaultRowHeight="134" customHeight="1" x14ac:dyDescent="0.3"/>
  <cols>
    <col min="1" max="1" width="46.6640625" style="102" customWidth="1"/>
    <col min="2" max="2" width="77.83203125" style="102" customWidth="1"/>
    <col min="3" max="3" width="35.1640625" style="118" customWidth="1"/>
    <col min="4" max="4" width="97" style="105"/>
    <col min="5" max="16384" width="97" style="153"/>
  </cols>
  <sheetData>
    <row r="1" spans="1:4" s="137" customFormat="1" ht="134" customHeight="1" x14ac:dyDescent="0.3">
      <c r="A1" s="134" t="s">
        <v>843</v>
      </c>
      <c r="B1" s="135" t="s">
        <v>844</v>
      </c>
      <c r="C1" s="135" t="s">
        <v>845</v>
      </c>
      <c r="D1" s="136" t="s">
        <v>846</v>
      </c>
    </row>
    <row r="2" spans="1:4" s="119" customFormat="1" ht="134" customHeight="1" x14ac:dyDescent="0.2">
      <c r="A2" s="138" t="s">
        <v>405</v>
      </c>
      <c r="B2" s="139" t="s">
        <v>796</v>
      </c>
      <c r="C2" s="140">
        <v>2024</v>
      </c>
      <c r="D2" s="141" t="s">
        <v>365</v>
      </c>
    </row>
    <row r="3" spans="1:4" s="119" customFormat="1" ht="134" customHeight="1" x14ac:dyDescent="0.2">
      <c r="A3" s="142" t="s">
        <v>406</v>
      </c>
      <c r="B3" s="143" t="s">
        <v>797</v>
      </c>
      <c r="C3" s="144">
        <v>45866</v>
      </c>
      <c r="D3" s="145" t="s">
        <v>366</v>
      </c>
    </row>
    <row r="4" spans="1:4" s="119" customFormat="1" ht="134" customHeight="1" x14ac:dyDescent="0.2">
      <c r="A4" s="142" t="s">
        <v>496</v>
      </c>
      <c r="B4" s="143" t="s">
        <v>797</v>
      </c>
      <c r="C4" s="144">
        <v>45866</v>
      </c>
      <c r="D4" s="145" t="s">
        <v>495</v>
      </c>
    </row>
    <row r="5" spans="1:4" s="119" customFormat="1" ht="134" customHeight="1" x14ac:dyDescent="0.2">
      <c r="A5" s="142" t="s">
        <v>800</v>
      </c>
      <c r="B5" s="143" t="s">
        <v>798</v>
      </c>
      <c r="C5" s="146">
        <v>45717</v>
      </c>
      <c r="D5" s="145" t="s">
        <v>367</v>
      </c>
    </row>
    <row r="6" spans="1:4" s="119" customFormat="1" ht="134" customHeight="1" x14ac:dyDescent="0.2">
      <c r="A6" s="142" t="s">
        <v>407</v>
      </c>
      <c r="B6" s="143" t="s">
        <v>369</v>
      </c>
      <c r="C6" s="144">
        <v>44351</v>
      </c>
      <c r="D6" s="145" t="s">
        <v>368</v>
      </c>
    </row>
    <row r="7" spans="1:4" s="119" customFormat="1" ht="134" customHeight="1" x14ac:dyDescent="0.2">
      <c r="A7" s="147" t="s">
        <v>783</v>
      </c>
      <c r="B7" s="143" t="s">
        <v>799</v>
      </c>
      <c r="C7" s="144">
        <v>45862</v>
      </c>
      <c r="D7" s="145" t="s">
        <v>729</v>
      </c>
    </row>
    <row r="8" spans="1:4" s="119" customFormat="1" ht="134" customHeight="1" x14ac:dyDescent="0.2">
      <c r="A8" s="142" t="s">
        <v>801</v>
      </c>
      <c r="B8" s="143" t="s">
        <v>373</v>
      </c>
      <c r="C8" s="140">
        <v>2019</v>
      </c>
      <c r="D8" s="148" t="s">
        <v>370</v>
      </c>
    </row>
    <row r="9" spans="1:4" s="119" customFormat="1" ht="134" customHeight="1" x14ac:dyDescent="0.2">
      <c r="A9" s="142" t="s">
        <v>802</v>
      </c>
      <c r="B9" s="143" t="s">
        <v>372</v>
      </c>
      <c r="C9" s="146">
        <v>45536</v>
      </c>
      <c r="D9" s="141" t="s">
        <v>371</v>
      </c>
    </row>
    <row r="10" spans="1:4" s="119" customFormat="1" ht="134" customHeight="1" thickBot="1" x14ac:dyDescent="0.25">
      <c r="A10" s="149" t="s">
        <v>727</v>
      </c>
      <c r="B10" s="150" t="s">
        <v>721</v>
      </c>
      <c r="C10" s="151" t="s">
        <v>722</v>
      </c>
      <c r="D10" s="152" t="s">
        <v>728</v>
      </c>
    </row>
  </sheetData>
  <sheetProtection algorithmName="SHA-512" hashValue="DYWuRPRIeEPKNleLpYGPsWRvvy3i1TvU5FAC3WbXSvMFuS6BLvnzGalw459NjEJnWqcQufKB9narw2pWPoKWHw==" saltValue="S8RnK9VtM6XML8TzqABmWA==" spinCount="100000" sheet="1" objects="1" scenarios="1"/>
  <hyperlinks>
    <hyperlink ref="D2" r:id="rId1" xr:uid="{95C8FC1F-86A4-C34E-A8EB-66A032111624}"/>
    <hyperlink ref="D3" r:id="rId2" xr:uid="{A33303E1-33EC-964B-ADC5-33D41ECE8868}"/>
    <hyperlink ref="D5" r:id="rId3" xr:uid="{963ED7D0-DEC2-C047-B335-3BD50694200E}"/>
    <hyperlink ref="D6" r:id="rId4" xr:uid="{6C2F22E7-80C4-BD4A-933C-DDF375E10CB8}"/>
    <hyperlink ref="D8" r:id="rId5" xr:uid="{0E4893BE-B37D-EB4A-B82B-07A9986EB3C8}"/>
    <hyperlink ref="D9" r:id="rId6" xr:uid="{57CDAF36-4C36-314E-8DE0-8739DE2C6B24}"/>
    <hyperlink ref="D4" r:id="rId7" xr:uid="{4B8EE561-96AB-9C44-9845-EA1E9C57789D}"/>
    <hyperlink ref="D7" r:id="rId8" xr:uid="{7D94E23C-2BD3-8B40-97E0-B5FC8856538D}"/>
  </hyperlinks>
  <pageMargins left="0.7" right="0.7" top="0.75" bottom="0.75" header="0.3" footer="0.3"/>
  <pageSetup scale="40" orientation="landscape" horizontalDpi="0" verticalDpi="0"/>
  <drawing r:id="rId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EC3FB-1AAF-8741-8B86-C8A163A758A3}">
  <sheetPr codeName="Sheet3">
    <pageSetUpPr fitToPage="1"/>
  </sheetPr>
  <dimension ref="A1:D23"/>
  <sheetViews>
    <sheetView showGridLines="0" topLeftCell="B1" workbookViewId="0">
      <pane ySplit="1" topLeftCell="A2" activePane="bottomLeft" state="frozen"/>
      <selection pane="bottomLeft" activeCell="B1" sqref="A1:XFD1048576"/>
    </sheetView>
  </sheetViews>
  <sheetFormatPr baseColWidth="10" defaultRowHeight="20" x14ac:dyDescent="0.2"/>
  <cols>
    <col min="1" max="1" width="49.5" style="28" customWidth="1"/>
    <col min="2" max="2" width="135.83203125" style="5" customWidth="1"/>
    <col min="3" max="3" width="97.6640625" style="4" customWidth="1"/>
    <col min="4" max="4" width="10.83203125" style="5"/>
    <col min="5" max="5" width="30.83203125" style="4" customWidth="1"/>
    <col min="6" max="16384" width="10.83203125" style="4"/>
  </cols>
  <sheetData>
    <row r="1" spans="1:4" s="123" customFormat="1" ht="118" customHeight="1" thickBot="1" x14ac:dyDescent="0.25">
      <c r="A1" s="120" t="s">
        <v>773</v>
      </c>
      <c r="B1" s="121" t="s">
        <v>774</v>
      </c>
      <c r="C1" s="122" t="s">
        <v>775</v>
      </c>
    </row>
    <row r="2" spans="1:4" s="4" customFormat="1" ht="409.6" x14ac:dyDescent="0.2">
      <c r="A2" s="124" t="s">
        <v>757</v>
      </c>
      <c r="B2" s="125" t="s">
        <v>851</v>
      </c>
      <c r="C2" s="126" t="s">
        <v>852</v>
      </c>
    </row>
    <row r="3" spans="1:4" s="4" customFormat="1" ht="336" x14ac:dyDescent="0.2">
      <c r="A3" s="124" t="s">
        <v>758</v>
      </c>
      <c r="B3" s="127" t="s">
        <v>853</v>
      </c>
      <c r="C3" s="128" t="s">
        <v>854</v>
      </c>
    </row>
    <row r="4" spans="1:4" s="4" customFormat="1" ht="409.6" x14ac:dyDescent="0.2">
      <c r="A4" s="129" t="s">
        <v>759</v>
      </c>
      <c r="B4" s="127" t="s">
        <v>855</v>
      </c>
      <c r="C4" s="128" t="s">
        <v>856</v>
      </c>
    </row>
    <row r="5" spans="1:4" s="4" customFormat="1" ht="399" x14ac:dyDescent="0.2">
      <c r="A5" s="129" t="s">
        <v>760</v>
      </c>
      <c r="B5" s="127" t="s">
        <v>857</v>
      </c>
      <c r="C5" s="126" t="s">
        <v>858</v>
      </c>
    </row>
    <row r="6" spans="1:4" s="4" customFormat="1" ht="294" x14ac:dyDescent="0.2">
      <c r="A6" s="129" t="s">
        <v>761</v>
      </c>
      <c r="B6" s="127" t="s">
        <v>859</v>
      </c>
      <c r="C6" s="128" t="s">
        <v>860</v>
      </c>
    </row>
    <row r="7" spans="1:4" s="4" customFormat="1" ht="315" x14ac:dyDescent="0.2">
      <c r="A7" s="129" t="s">
        <v>762</v>
      </c>
      <c r="B7" s="127" t="s">
        <v>861</v>
      </c>
      <c r="C7" s="126" t="s">
        <v>862</v>
      </c>
    </row>
    <row r="8" spans="1:4" s="4" customFormat="1" ht="315" x14ac:dyDescent="0.2">
      <c r="A8" s="129" t="s">
        <v>763</v>
      </c>
      <c r="B8" s="127" t="s">
        <v>863</v>
      </c>
      <c r="C8" s="126" t="s">
        <v>864</v>
      </c>
    </row>
    <row r="9" spans="1:4" s="4" customFormat="1" ht="273" x14ac:dyDescent="0.2">
      <c r="A9" s="129" t="s">
        <v>764</v>
      </c>
      <c r="B9" s="127" t="s">
        <v>865</v>
      </c>
      <c r="C9" s="128" t="s">
        <v>866</v>
      </c>
      <c r="D9" s="5"/>
    </row>
    <row r="10" spans="1:4" s="4" customFormat="1" ht="231" x14ac:dyDescent="0.2">
      <c r="A10" s="129" t="s">
        <v>134</v>
      </c>
      <c r="B10" s="127" t="s">
        <v>867</v>
      </c>
      <c r="C10" s="128" t="s">
        <v>868</v>
      </c>
      <c r="D10" s="5"/>
    </row>
    <row r="11" spans="1:4" s="4" customFormat="1" ht="273" x14ac:dyDescent="0.2">
      <c r="A11" s="129" t="s">
        <v>765</v>
      </c>
      <c r="B11" s="127" t="s">
        <v>869</v>
      </c>
      <c r="C11" s="128" t="s">
        <v>870</v>
      </c>
      <c r="D11" s="5"/>
    </row>
    <row r="12" spans="1:4" s="4" customFormat="1" ht="294" x14ac:dyDescent="0.2">
      <c r="A12" s="129" t="s">
        <v>766</v>
      </c>
      <c r="B12" s="127" t="s">
        <v>871</v>
      </c>
      <c r="C12" s="128" t="s">
        <v>872</v>
      </c>
      <c r="D12" s="5"/>
    </row>
    <row r="13" spans="1:4" s="4" customFormat="1" ht="409.6" x14ac:dyDescent="0.2">
      <c r="A13" s="129" t="s">
        <v>767</v>
      </c>
      <c r="B13" s="127" t="s">
        <v>873</v>
      </c>
      <c r="C13" s="126" t="s">
        <v>874</v>
      </c>
      <c r="D13" s="5"/>
    </row>
    <row r="14" spans="1:4" s="4" customFormat="1" ht="231" x14ac:dyDescent="0.2">
      <c r="A14" s="129" t="s">
        <v>768</v>
      </c>
      <c r="B14" s="127" t="s">
        <v>875</v>
      </c>
      <c r="C14" s="128" t="s">
        <v>876</v>
      </c>
      <c r="D14" s="5"/>
    </row>
    <row r="15" spans="1:4" s="4" customFormat="1" ht="231" x14ac:dyDescent="0.2">
      <c r="A15" s="129" t="s">
        <v>135</v>
      </c>
      <c r="B15" s="127" t="s">
        <v>877</v>
      </c>
      <c r="C15" s="128" t="s">
        <v>878</v>
      </c>
      <c r="D15" s="5"/>
    </row>
    <row r="16" spans="1:4" s="4" customFormat="1" ht="231" x14ac:dyDescent="0.2">
      <c r="A16" s="129" t="s">
        <v>136</v>
      </c>
      <c r="B16" s="127" t="s">
        <v>879</v>
      </c>
      <c r="C16" s="128" t="s">
        <v>880</v>
      </c>
      <c r="D16" s="5"/>
    </row>
    <row r="17" spans="1:4" s="4" customFormat="1" ht="357" x14ac:dyDescent="0.2">
      <c r="A17" s="129" t="s">
        <v>138</v>
      </c>
      <c r="B17" s="127" t="s">
        <v>881</v>
      </c>
      <c r="C17" s="128" t="s">
        <v>882</v>
      </c>
      <c r="D17" s="5"/>
    </row>
    <row r="18" spans="1:4" s="4" customFormat="1" ht="231" x14ac:dyDescent="0.2">
      <c r="A18" s="129" t="s">
        <v>139</v>
      </c>
      <c r="B18" s="127" t="s">
        <v>883</v>
      </c>
      <c r="C18" s="128" t="s">
        <v>884</v>
      </c>
      <c r="D18" s="5"/>
    </row>
    <row r="19" spans="1:4" s="4" customFormat="1" ht="210" x14ac:dyDescent="0.2">
      <c r="A19" s="129" t="s">
        <v>140</v>
      </c>
      <c r="B19" s="127" t="s">
        <v>885</v>
      </c>
      <c r="C19" s="128" t="s">
        <v>886</v>
      </c>
      <c r="D19" s="5"/>
    </row>
    <row r="20" spans="1:4" s="4" customFormat="1" ht="252" x14ac:dyDescent="0.2">
      <c r="A20" s="129" t="s">
        <v>52</v>
      </c>
      <c r="B20" s="127" t="s">
        <v>887</v>
      </c>
      <c r="C20" s="126" t="s">
        <v>888</v>
      </c>
      <c r="D20" s="5"/>
    </row>
    <row r="21" spans="1:4" s="4" customFormat="1" ht="357" x14ac:dyDescent="0.2">
      <c r="A21" s="129" t="s">
        <v>769</v>
      </c>
      <c r="B21" s="127" t="s">
        <v>889</v>
      </c>
      <c r="C21" s="128" t="s">
        <v>890</v>
      </c>
      <c r="D21" s="5"/>
    </row>
    <row r="22" spans="1:4" s="4" customFormat="1" ht="316" thickBot="1" x14ac:dyDescent="0.25">
      <c r="A22" s="130" t="s">
        <v>770</v>
      </c>
      <c r="B22" s="131" t="s">
        <v>891</v>
      </c>
      <c r="C22" s="132" t="s">
        <v>892</v>
      </c>
      <c r="D22" s="5"/>
    </row>
    <row r="23" spans="1:4" s="4" customFormat="1" x14ac:dyDescent="0.2">
      <c r="A23" s="133"/>
      <c r="B23" s="5"/>
      <c r="D23" s="5"/>
    </row>
  </sheetData>
  <pageMargins left="0.7" right="0.7" top="0.75" bottom="0.75" header="0.3" footer="0.3"/>
  <pageSetup scale="10" orientation="landscape"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4DB7A887-519E-AE42-8F4C-551281995959}">
          <x14:formula1>
            <xm:f>DropdownValues!$J$2:$J$25</xm:f>
          </x14:formula1>
          <xm:sqref>A2:A1048576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DF492-E3F2-3A49-BE6E-B3FA2E66D66F}">
  <dimension ref="A1:B37"/>
  <sheetViews>
    <sheetView showGridLines="0" workbookViewId="0">
      <pane ySplit="1" topLeftCell="A2" activePane="bottomLeft" state="frozen"/>
      <selection pane="bottomLeft" activeCell="B3" sqref="B3"/>
    </sheetView>
  </sheetViews>
  <sheetFormatPr baseColWidth="10" defaultRowHeight="28" x14ac:dyDescent="0.3"/>
  <cols>
    <col min="1" max="1" width="67" style="44" customWidth="1"/>
    <col min="2" max="2" width="129.33203125" style="108" customWidth="1"/>
    <col min="3" max="16384" width="10.83203125" style="102"/>
  </cols>
  <sheetData>
    <row r="1" spans="1:2" ht="45" customHeight="1" x14ac:dyDescent="0.3">
      <c r="A1" s="42"/>
      <c r="B1" s="101" t="s">
        <v>667</v>
      </c>
    </row>
    <row r="2" spans="1:2" ht="29" x14ac:dyDescent="0.3">
      <c r="A2" s="43" t="s">
        <v>683</v>
      </c>
      <c r="B2" s="103" t="s">
        <v>787</v>
      </c>
    </row>
    <row r="3" spans="1:2" ht="58" x14ac:dyDescent="0.3">
      <c r="A3" s="43" t="s">
        <v>788</v>
      </c>
      <c r="B3" s="103">
        <v>1.5</v>
      </c>
    </row>
    <row r="4" spans="1:2" ht="45" customHeight="1" x14ac:dyDescent="0.3">
      <c r="A4" s="42"/>
      <c r="B4" s="104" t="s">
        <v>668</v>
      </c>
    </row>
    <row r="5" spans="1:2" ht="58" x14ac:dyDescent="0.3">
      <c r="A5" s="43" t="s">
        <v>789</v>
      </c>
      <c r="B5" s="103" t="s">
        <v>684</v>
      </c>
    </row>
    <row r="6" spans="1:2" ht="29" x14ac:dyDescent="0.3">
      <c r="A6" s="43" t="s">
        <v>685</v>
      </c>
      <c r="B6" s="103" t="s">
        <v>686</v>
      </c>
    </row>
    <row r="7" spans="1:2" ht="29" x14ac:dyDescent="0.3">
      <c r="A7" s="43" t="s">
        <v>687</v>
      </c>
      <c r="B7" s="103" t="s">
        <v>688</v>
      </c>
    </row>
    <row r="8" spans="1:2" ht="29" x14ac:dyDescent="0.3">
      <c r="A8" s="43" t="s">
        <v>689</v>
      </c>
      <c r="B8" s="103" t="s">
        <v>690</v>
      </c>
    </row>
    <row r="9" spans="1:2" ht="58" x14ac:dyDescent="0.3">
      <c r="A9" s="43" t="s">
        <v>790</v>
      </c>
      <c r="B9" s="103" t="s">
        <v>691</v>
      </c>
    </row>
    <row r="10" spans="1:2" ht="29" x14ac:dyDescent="0.3">
      <c r="A10" s="43" t="s">
        <v>692</v>
      </c>
      <c r="B10" s="103" t="s">
        <v>693</v>
      </c>
    </row>
    <row r="11" spans="1:2" ht="45" customHeight="1" x14ac:dyDescent="0.3">
      <c r="A11" s="42"/>
      <c r="B11" s="104" t="s">
        <v>669</v>
      </c>
    </row>
    <row r="12" spans="1:2" s="105" customFormat="1" ht="58" x14ac:dyDescent="0.2">
      <c r="A12" s="43" t="s">
        <v>694</v>
      </c>
      <c r="B12" s="103" t="s">
        <v>695</v>
      </c>
    </row>
    <row r="13" spans="1:2" s="105" customFormat="1" ht="174" x14ac:dyDescent="0.2">
      <c r="A13" s="43" t="s">
        <v>670</v>
      </c>
      <c r="B13" s="106" t="s">
        <v>671</v>
      </c>
    </row>
    <row r="14" spans="1:2" ht="29" x14ac:dyDescent="0.3">
      <c r="A14" s="43" t="s">
        <v>696</v>
      </c>
      <c r="B14" s="103" t="s">
        <v>697</v>
      </c>
    </row>
    <row r="15" spans="1:2" ht="29" x14ac:dyDescent="0.3">
      <c r="A15" s="43" t="s">
        <v>698</v>
      </c>
      <c r="B15" s="103" t="s">
        <v>699</v>
      </c>
    </row>
    <row r="16" spans="1:2" ht="58" x14ac:dyDescent="0.3">
      <c r="A16" s="43" t="s">
        <v>700</v>
      </c>
      <c r="B16" s="103" t="s">
        <v>701</v>
      </c>
    </row>
    <row r="17" spans="1:2" ht="45" customHeight="1" x14ac:dyDescent="0.3">
      <c r="A17" s="42"/>
      <c r="B17" s="104" t="s">
        <v>672</v>
      </c>
    </row>
    <row r="18" spans="1:2" ht="87" x14ac:dyDescent="0.3">
      <c r="A18" s="43" t="s">
        <v>702</v>
      </c>
      <c r="B18" s="103" t="s">
        <v>703</v>
      </c>
    </row>
    <row r="19" spans="1:2" ht="87" x14ac:dyDescent="0.3">
      <c r="A19" s="43" t="s">
        <v>848</v>
      </c>
      <c r="B19" s="103" t="s">
        <v>847</v>
      </c>
    </row>
    <row r="20" spans="1:2" ht="45" customHeight="1" x14ac:dyDescent="0.3">
      <c r="A20" s="42"/>
      <c r="B20" s="104" t="s">
        <v>673</v>
      </c>
    </row>
    <row r="21" spans="1:2" ht="58" x14ac:dyDescent="0.3">
      <c r="A21" s="43" t="s">
        <v>791</v>
      </c>
      <c r="B21" s="103" t="s">
        <v>704</v>
      </c>
    </row>
    <row r="22" spans="1:2" ht="29" x14ac:dyDescent="0.3">
      <c r="A22" s="43" t="s">
        <v>674</v>
      </c>
      <c r="B22" s="106" t="s">
        <v>675</v>
      </c>
    </row>
    <row r="23" spans="1:2" ht="29" x14ac:dyDescent="0.3">
      <c r="A23" s="43"/>
      <c r="B23" s="106" t="s">
        <v>676</v>
      </c>
    </row>
    <row r="24" spans="1:2" ht="29" x14ac:dyDescent="0.3">
      <c r="A24" s="43"/>
      <c r="B24" s="106" t="s">
        <v>677</v>
      </c>
    </row>
    <row r="25" spans="1:2" ht="87" x14ac:dyDescent="0.3">
      <c r="A25" s="43"/>
      <c r="B25" s="106" t="s">
        <v>682</v>
      </c>
    </row>
    <row r="26" spans="1:2" ht="87" x14ac:dyDescent="0.3">
      <c r="A26" s="43" t="s">
        <v>792</v>
      </c>
      <c r="B26" s="103" t="s">
        <v>793</v>
      </c>
    </row>
    <row r="27" spans="1:2" ht="58" x14ac:dyDescent="0.3">
      <c r="A27" s="43" t="s">
        <v>794</v>
      </c>
      <c r="B27" s="103" t="s">
        <v>705</v>
      </c>
    </row>
    <row r="28" spans="1:2" ht="45" customHeight="1" x14ac:dyDescent="0.3">
      <c r="A28" s="42"/>
      <c r="B28" s="107" t="s">
        <v>678</v>
      </c>
    </row>
    <row r="29" spans="1:2" ht="57" customHeight="1" x14ac:dyDescent="0.3">
      <c r="A29" s="42"/>
      <c r="B29" s="41" t="s">
        <v>679</v>
      </c>
    </row>
    <row r="30" spans="1:2" ht="45" customHeight="1" x14ac:dyDescent="0.3">
      <c r="A30" s="42"/>
      <c r="B30" s="101" t="s">
        <v>680</v>
      </c>
    </row>
    <row r="31" spans="1:2" ht="34" customHeight="1" x14ac:dyDescent="0.3">
      <c r="A31" s="43" t="s">
        <v>706</v>
      </c>
      <c r="B31" s="103" t="s">
        <v>707</v>
      </c>
    </row>
    <row r="32" spans="1:2" ht="31" customHeight="1" x14ac:dyDescent="0.3">
      <c r="A32" s="43" t="s">
        <v>708</v>
      </c>
      <c r="B32" s="103" t="s">
        <v>709</v>
      </c>
    </row>
    <row r="33" spans="1:2" ht="60" customHeight="1" x14ac:dyDescent="0.3">
      <c r="A33" s="43" t="s">
        <v>795</v>
      </c>
      <c r="B33" s="103" t="s">
        <v>710</v>
      </c>
    </row>
    <row r="34" spans="1:2" ht="37" customHeight="1" x14ac:dyDescent="0.3">
      <c r="A34" s="43" t="s">
        <v>711</v>
      </c>
      <c r="B34" s="103" t="s">
        <v>712</v>
      </c>
    </row>
    <row r="35" spans="1:2" ht="45" customHeight="1" x14ac:dyDescent="0.3">
      <c r="A35" s="42"/>
      <c r="B35" s="104" t="s">
        <v>681</v>
      </c>
    </row>
    <row r="36" spans="1:2" ht="29" x14ac:dyDescent="0.3">
      <c r="A36" s="43" t="s">
        <v>849</v>
      </c>
      <c r="B36" s="103" t="s">
        <v>713</v>
      </c>
    </row>
    <row r="37" spans="1:2" ht="29" x14ac:dyDescent="0.3">
      <c r="A37" s="43" t="s">
        <v>850</v>
      </c>
      <c r="B37" s="103" t="s">
        <v>714</v>
      </c>
    </row>
  </sheetData>
  <sheetProtection algorithmName="SHA-512" hashValue="lu70XoXiU3/TwFKKsziUJ8Jfqb+BlmoxwDzMQX7t035o3JNL8zmuz8FMjXp4N2zDKBlB0LbcI0VF8aNUjRPjhg==" saltValue="NcEs7P9budl/j4IWGY/N1g==" spinCount="100000" sheet="1" objects="1" scenarios="1"/>
  <pageMargins left="0.7" right="0.7" top="0.75" bottom="0.75" header="0.3" footer="0.3"/>
  <pageSetup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D920C-2DA0-E44A-BAEA-E29D37B42532}">
  <dimension ref="A1:C11"/>
  <sheetViews>
    <sheetView showGridLines="0" workbookViewId="0">
      <selection activeCell="C1" sqref="C1"/>
    </sheetView>
  </sheetViews>
  <sheetFormatPr baseColWidth="10" defaultColWidth="40.83203125" defaultRowHeight="28" x14ac:dyDescent="0.3"/>
  <cols>
    <col min="1" max="1" width="40.83203125" style="115"/>
    <col min="2" max="2" width="40.83203125" style="116"/>
    <col min="3" max="3" width="121.83203125" style="18" customWidth="1"/>
    <col min="4" max="16384" width="40.83203125" style="117"/>
  </cols>
  <sheetData>
    <row r="1" spans="1:3" s="111" customFormat="1" ht="47" customHeight="1" x14ac:dyDescent="0.3">
      <c r="A1" s="109" t="s">
        <v>651</v>
      </c>
      <c r="B1" s="110" t="s">
        <v>650</v>
      </c>
      <c r="C1" s="110" t="s">
        <v>776</v>
      </c>
    </row>
    <row r="2" spans="1:3" s="111" customFormat="1" ht="160" customHeight="1" x14ac:dyDescent="0.2">
      <c r="A2" s="112" t="s">
        <v>647</v>
      </c>
      <c r="B2" s="113">
        <v>45878</v>
      </c>
      <c r="C2" s="40" t="s">
        <v>786</v>
      </c>
    </row>
    <row r="3" spans="1:3" s="111" customFormat="1" ht="171" customHeight="1" x14ac:dyDescent="0.2">
      <c r="A3" s="112" t="s">
        <v>648</v>
      </c>
      <c r="B3" s="113">
        <v>45881</v>
      </c>
      <c r="C3" s="40" t="s">
        <v>777</v>
      </c>
    </row>
    <row r="4" spans="1:3" s="111" customFormat="1" ht="121" customHeight="1" x14ac:dyDescent="0.2">
      <c r="A4" s="112" t="s">
        <v>649</v>
      </c>
      <c r="B4" s="113">
        <v>45887</v>
      </c>
      <c r="C4" s="40" t="s">
        <v>778</v>
      </c>
    </row>
    <row r="5" spans="1:3" s="111" customFormat="1" ht="141" hidden="1" customHeight="1" x14ac:dyDescent="0.2">
      <c r="A5" s="112"/>
      <c r="B5" s="114"/>
      <c r="C5" s="39"/>
    </row>
    <row r="6" spans="1:3" s="111" customFormat="1" ht="1" hidden="1" customHeight="1" x14ac:dyDescent="0.2">
      <c r="A6" s="112"/>
      <c r="B6" s="114"/>
      <c r="C6" s="39"/>
    </row>
    <row r="7" spans="1:3" s="111" customFormat="1" ht="1" hidden="1" customHeight="1" x14ac:dyDescent="0.2">
      <c r="A7" s="112"/>
      <c r="B7" s="114"/>
      <c r="C7" s="39"/>
    </row>
    <row r="8" spans="1:3" s="111" customFormat="1" ht="160" hidden="1" customHeight="1" x14ac:dyDescent="0.2">
      <c r="A8" s="112"/>
      <c r="B8" s="114"/>
      <c r="C8" s="39"/>
    </row>
    <row r="9" spans="1:3" s="111" customFormat="1" ht="121" customHeight="1" x14ac:dyDescent="0.2">
      <c r="A9" s="112" t="s">
        <v>780</v>
      </c>
      <c r="B9" s="113">
        <v>45894</v>
      </c>
      <c r="C9" s="40" t="s">
        <v>779</v>
      </c>
    </row>
    <row r="10" spans="1:3" s="111" customFormat="1" ht="321" customHeight="1" x14ac:dyDescent="0.2">
      <c r="A10" s="112" t="s">
        <v>781</v>
      </c>
      <c r="B10" s="113">
        <v>45901</v>
      </c>
      <c r="C10" s="40" t="s">
        <v>785</v>
      </c>
    </row>
    <row r="11" spans="1:3" s="111" customFormat="1" ht="321" customHeight="1" x14ac:dyDescent="0.2">
      <c r="A11" s="112" t="s">
        <v>782</v>
      </c>
      <c r="B11" s="113">
        <v>45902</v>
      </c>
      <c r="C11" s="40" t="s">
        <v>784</v>
      </c>
    </row>
  </sheetData>
  <sheetProtection algorithmName="SHA-512" hashValue="Dw/57wgg+BBMMaGiDsNgwDdnn68XEz0b55qYArcxgG5abtnZN624D9NWQzxL9N6+3j9+5h/MwZiSnpXVBxmb/g==" saltValue="UQYpApib383PHAyGFeJmzg==" spinCount="100000" sheet="1" objects="1" scenarios="1"/>
  <pageMargins left="0.7" right="0.7" top="0.75" bottom="0.75" header="0.3" footer="0.3"/>
  <pageSetup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41</vt:i4>
      </vt:variant>
    </vt:vector>
  </HeadingPairs>
  <TitlesOfParts>
    <vt:vector size="54" baseType="lpstr">
      <vt:lpstr>Menu</vt:lpstr>
      <vt:lpstr>Instructions</vt:lpstr>
      <vt:lpstr>About Project</vt:lpstr>
      <vt:lpstr>Definitions</vt:lpstr>
      <vt:lpstr>The Tool</vt:lpstr>
      <vt:lpstr>AIHSR Risk Reference Tool (1.0)</vt:lpstr>
      <vt:lpstr>DropdownValues</vt:lpstr>
      <vt:lpstr>Map Risk-Mitigation-Prompt</vt:lpstr>
      <vt:lpstr>Examples</vt:lpstr>
      <vt:lpstr>Sources</vt:lpstr>
      <vt:lpstr>Lookup</vt:lpstr>
      <vt:lpstr>Model Info</vt:lpstr>
      <vt:lpstr>Version History</vt:lpstr>
      <vt:lpstr>'The Tool'!AI_Use_Case</vt:lpstr>
      <vt:lpstr>AI_Use_Case</vt:lpstr>
      <vt:lpstr>'The Tool'!Benefit_Risk_Justification</vt:lpstr>
      <vt:lpstr>Benefit_Risk_Justification</vt:lpstr>
      <vt:lpstr>D____Distributional</vt:lpstr>
      <vt:lpstr>'The Tool'!Example_Mitigation_Strategy</vt:lpstr>
      <vt:lpstr>Example_Mitigation_Strategy</vt:lpstr>
      <vt:lpstr>'The Tool'!Human_Subjects_Concern</vt:lpstr>
      <vt:lpstr>Human_Subjects_Concern</vt:lpstr>
      <vt:lpstr>I____Interactional</vt:lpstr>
      <vt:lpstr>'The Tool'!Likelihood</vt:lpstr>
      <vt:lpstr>Likelihood</vt:lpstr>
      <vt:lpstr>'The Tool'!Mitigation_Type</vt:lpstr>
      <vt:lpstr>Mitigation_Type</vt:lpstr>
      <vt:lpstr>'About Project'!Print_Area</vt:lpstr>
      <vt:lpstr>'AIHSR Risk Reference Tool (1.0)'!Print_Area</vt:lpstr>
      <vt:lpstr>Definitions!Print_Area</vt:lpstr>
      <vt:lpstr>DropdownValues!Print_Area</vt:lpstr>
      <vt:lpstr>Examples!Print_Area</vt:lpstr>
      <vt:lpstr>Instructions!Print_Area</vt:lpstr>
      <vt:lpstr>Lookup!Print_Area</vt:lpstr>
      <vt:lpstr>'Map Risk-Mitigation-Prompt'!Print_Area</vt:lpstr>
      <vt:lpstr>Menu!Print_Area</vt:lpstr>
      <vt:lpstr>'Model Info'!Print_Area</vt:lpstr>
      <vt:lpstr>Sources!Print_Area</vt:lpstr>
      <vt:lpstr>'The Tool'!Print_Area</vt:lpstr>
      <vt:lpstr>'Version History'!Print_Area</vt:lpstr>
      <vt:lpstr>'The Tool'!Relevant_Research_Features</vt:lpstr>
      <vt:lpstr>Relevant_Research_Features</vt:lpstr>
      <vt:lpstr>'The Tool'!Residual_Risk_Consideration</vt:lpstr>
      <vt:lpstr>Residual_Risk_Consideration</vt:lpstr>
      <vt:lpstr>'The Tool'!Reviewer_Notes</vt:lpstr>
      <vt:lpstr>Reviewer_Notes</vt:lpstr>
      <vt:lpstr>Risk_Description</vt:lpstr>
      <vt:lpstr>'The Tool'!Risk_Domain</vt:lpstr>
      <vt:lpstr>Risk_Domain</vt:lpstr>
      <vt:lpstr>'The Tool'!Risk_Level</vt:lpstr>
      <vt:lpstr>Risk_Level</vt:lpstr>
      <vt:lpstr>S____Systemic</vt:lpstr>
      <vt:lpstr>'The Tool'!Severity</vt:lpstr>
      <vt:lpstr>Severity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Tamiko Eto</dc:creator>
  <cp:lastModifiedBy>Tamiko Eto</cp:lastModifiedBy>
  <cp:lastPrinted>2025-08-14T20:43:14Z</cp:lastPrinted>
  <dcterms:created xsi:type="dcterms:W3CDTF">2025-08-05T20:58:17Z</dcterms:created>
  <dcterms:modified xsi:type="dcterms:W3CDTF">2025-09-04T21:57:45Z</dcterms:modified>
</cp:coreProperties>
</file>